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92a5a0c18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cdf49256e9f4a14"/>
    <x:sheet xmlns:r="http://schemas.openxmlformats.org/officeDocument/2006/relationships" name="Directory" sheetId="2" r:id="R09c5c410dbf4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1"/>
      <x:color rgb="FF24344D"/>
      <x:name val="Arial"/>
    </x:font>
    <x:font>
      <x:b/>
      <x:sz val="17"/>
      <x:color rgb="FF163759"/>
      <x:name val="Arial"/>
    </x:font>
    <x:font>
      <x:sz val="10"/>
      <x:color rgb="FF5F7187"/>
      <x:name val="Arial"/>
    </x:font>
    <x:font>
      <x:b/>
      <x:sz val="22"/>
      <x:color rgb="FF163759"/>
      <x:name val="Arial"/>
    </x:font>
    <x:font>
      <x:b/>
      <x:sz val="14"/>
      <x:color rgb="FF24344D"/>
      <x:name val="Arial"/>
    </x:font>
    <x:font>
      <x:b/>
      <x:sz val="11"/>
      <x:color rgb="FF2434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A66"/>
      </x:patternFill>
    </x:fill>
    <x:fill>
      <x:patternFill patternType="solid">
        <x:fgColor rgb="FFEDF3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8A4B0F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44ec083d9465a" /><Relationship Type="http://schemas.openxmlformats.org/officeDocument/2006/relationships/theme" Target="/xl/theme/theme1.xml" Id="Rc8d088c655a54323" /><Relationship Type="http://schemas.openxmlformats.org/officeDocument/2006/relationships/sharedStrings" Target="/xl/sharedStrings.xml" Id="R2d80c6082f8b48a6" /><Relationship Type="http://schemas.openxmlformats.org/officeDocument/2006/relationships/worksheet" Target="/xl/worksheets/sheet1.xml" Id="R4cdf49256e9f4a14" /><Relationship Type="http://schemas.openxmlformats.org/officeDocument/2006/relationships/worksheet" Target="/xl/worksheets/sheet2.xml" Id="R09c5c410dbf44d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21829bd00a44241" /><Relationship Type="http://schemas.openxmlformats.org/officeDocument/2006/relationships/image" Target="/xl/media/image2.png" Id="Rf0b7dd6a974b4fa8" /><Relationship Type="http://schemas.openxmlformats.org/officeDocument/2006/relationships/image" Target="/xl/media/image3.png" Id="Rc2ab97488dbd40ba" /><Relationship Type="http://schemas.openxmlformats.org/officeDocument/2006/relationships/image" Target="/xl/media/image4.png" Id="R92258908c3084d21" /><Relationship Type="http://schemas.openxmlformats.org/officeDocument/2006/relationships/image" Target="/xl/media/image5.png" Id="R7cc21505e473433d" /><Relationship Type="http://schemas.openxmlformats.org/officeDocument/2006/relationships/image" Target="/xl/media/image6.png" Id="Rad4cf9fe85d843e3" /><Relationship Type="http://schemas.openxmlformats.org/officeDocument/2006/relationships/image" Target="/xl/media/image7.png" Id="R92d9eee68f3a40d6" /><Relationship Type="http://schemas.openxmlformats.org/officeDocument/2006/relationships/image" Target="/xl/media/image8.png" Id="Rd97c67a2f79d4c72" /><Relationship Type="http://schemas.openxmlformats.org/officeDocument/2006/relationships/image" Target="/xl/media/image9.png" Id="Ra6ccde907eb34b30" /><Relationship Type="http://schemas.openxmlformats.org/officeDocument/2006/relationships/image" Target="/xl/media/image10.png" Id="R1a385be714ea4952" /><Relationship Type="http://schemas.openxmlformats.org/officeDocument/2006/relationships/image" Target="/xl/media/image11.png" Id="R1eb9bdf4c5d9443e" /><Relationship Type="http://schemas.openxmlformats.org/officeDocument/2006/relationships/image" Target="/xl/media/image12.png" Id="R1bfd327e1b684c50" /><Relationship Type="http://schemas.openxmlformats.org/officeDocument/2006/relationships/image" Target="/xl/media/image13.png" Id="Rc2885a07e3764bdf" /><Relationship Type="http://schemas.openxmlformats.org/officeDocument/2006/relationships/image" Target="/xl/media/image14.png" Id="R781a5b588b8443d5" /><Relationship Type="http://schemas.openxmlformats.org/officeDocument/2006/relationships/image" Target="/xl/media/image15.png" Id="R895a0976eaa94e5d" /><Relationship Type="http://schemas.openxmlformats.org/officeDocument/2006/relationships/image" Target="/xl/media/image16.png" Id="Rde19369bbf994cd4" /><Relationship Type="http://schemas.openxmlformats.org/officeDocument/2006/relationships/image" Target="/xl/media/image17.png" Id="R0d517e1e21554413" /><Relationship Type="http://schemas.openxmlformats.org/officeDocument/2006/relationships/image" Target="/xl/media/image18.png" Id="R4ef05e0992f54982" /><Relationship Type="http://schemas.openxmlformats.org/officeDocument/2006/relationships/image" Target="/xl/media/image19.png" Id="Rba0b867b4503442c" /><Relationship Type="http://schemas.openxmlformats.org/officeDocument/2006/relationships/image" Target="/xl/media/image20.png" Id="R31fff047944a4fa5" /><Relationship Type="http://schemas.openxmlformats.org/officeDocument/2006/relationships/image" Target="/xl/media/image21.png" Id="R782c9cbeb8c8495e" /><Relationship Type="http://schemas.openxmlformats.org/officeDocument/2006/relationships/image" Target="/xl/media/image22.png" Id="R6a94d4d923054cc9" /><Relationship Type="http://schemas.openxmlformats.org/officeDocument/2006/relationships/image" Target="/xl/media/image23.png" Id="Re2cc7d5be4c04e9b" /><Relationship Type="http://schemas.openxmlformats.org/officeDocument/2006/relationships/image" Target="/xl/media/image24.png" Id="Rbb5a0640fc1e4d17" /><Relationship Type="http://schemas.openxmlformats.org/officeDocument/2006/relationships/image" Target="/xl/media/image25.png" Id="Re53ea05eef6648d6" /><Relationship Type="http://schemas.openxmlformats.org/officeDocument/2006/relationships/image" Target="/xl/media/image26.png" Id="R6ce077024dac4398" /><Relationship Type="http://schemas.openxmlformats.org/officeDocument/2006/relationships/image" Target="/xl/media/image27.png" Id="R3e2f873a3c714760" /><Relationship Type="http://schemas.openxmlformats.org/officeDocument/2006/relationships/image" Target="/xl/media/image28.png" Id="Rdd9cb05919924fc9" /><Relationship Type="http://schemas.openxmlformats.org/officeDocument/2006/relationships/image" Target="/xl/media/image29.png" Id="R965db282e2254ef5" /><Relationship Type="http://schemas.openxmlformats.org/officeDocument/2006/relationships/image" Target="/xl/media/image30.png" Id="Rdcf88e719681421a" /><Relationship Type="http://schemas.openxmlformats.org/officeDocument/2006/relationships/image" Target="/xl/media/image31.png" Id="R447a5737b6d74232" /><Relationship Type="http://schemas.openxmlformats.org/officeDocument/2006/relationships/image" Target="/xl/media/image32.png" Id="R620fd7d416b0452e" /><Relationship Type="http://schemas.openxmlformats.org/officeDocument/2006/relationships/image" Target="/xl/media/image33.png" Id="Rfb7d33531ddc4e13" /><Relationship Type="http://schemas.openxmlformats.org/officeDocument/2006/relationships/image" Target="/xl/media/image34.png" Id="R105df90ddc454623" /><Relationship Type="http://schemas.openxmlformats.org/officeDocument/2006/relationships/image" Target="/xl/media/image35.png" Id="Re1f40dd1b874449c" /><Relationship Type="http://schemas.openxmlformats.org/officeDocument/2006/relationships/image" Target="/xl/media/image36.png" Id="Rb699a98aeaee42da" /><Relationship Type="http://schemas.openxmlformats.org/officeDocument/2006/relationships/image" Target="/xl/media/image37.png" Id="R88086599ff3747b4" /><Relationship Type="http://schemas.openxmlformats.org/officeDocument/2006/relationships/image" Target="/xl/media/image38.png" Id="Rb685a026b3594527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7</xdr:row>
      <xdr:rowOff>142875</xdr:rowOff>
    </xdr:from>
    <xdr:ext cx="1524000" cy="638175"/>
    <xdr:pic>
      <xdr:nvPicPr>
        <xdr:cNvPr id="1" name="0b872c99-4987-41f5-9dda-8d86fa8ce6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829bd00a442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8</xdr:row>
      <xdr:rowOff>142875</xdr:rowOff>
    </xdr:from>
    <xdr:ext cx="1524000" cy="638175"/>
    <xdr:pic>
      <xdr:nvPicPr>
        <xdr:cNvPr id="2" name="3a459c71-9ec8-40e5-b3fa-5effb8c3fc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b7dd6a974b4f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9</xdr:row>
      <xdr:rowOff>142875</xdr:rowOff>
    </xdr:from>
    <xdr:ext cx="1524000" cy="638175"/>
    <xdr:pic>
      <xdr:nvPicPr>
        <xdr:cNvPr id="3" name="4388133b-989d-46b2-99d2-1b2150d80f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b97488dbd40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10</xdr:row>
      <xdr:rowOff>142875</xdr:rowOff>
    </xdr:from>
    <xdr:ext cx="1524000" cy="638175"/>
    <xdr:pic>
      <xdr:nvPicPr>
        <xdr:cNvPr id="4" name="520d06e6-e7bf-42c0-a9cd-6d43aae738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58908c308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11</xdr:row>
      <xdr:rowOff>142875</xdr:rowOff>
    </xdr:from>
    <xdr:ext cx="1524000" cy="638175"/>
    <xdr:pic>
      <xdr:nvPicPr>
        <xdr:cNvPr id="5" name="4d35bcc1-2905-45e3-9df3-85876f429a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c21505e47343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12</xdr:row>
      <xdr:rowOff>142875</xdr:rowOff>
    </xdr:from>
    <xdr:ext cx="1524000" cy="638175"/>
    <xdr:pic>
      <xdr:nvPicPr>
        <xdr:cNvPr id="6" name="b4d75718-59c9-4c0b-b65a-a0ed6dfc2b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cf9fe85d843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13</xdr:row>
      <xdr:rowOff>142875</xdr:rowOff>
    </xdr:from>
    <xdr:ext cx="1524000" cy="638175"/>
    <xdr:pic>
      <xdr:nvPicPr>
        <xdr:cNvPr id="7" name="ce0df300-116c-4eed-9504-e324e19c1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9eee68f3a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14</xdr:row>
      <xdr:rowOff>142875</xdr:rowOff>
    </xdr:from>
    <xdr:ext cx="1524000" cy="638175"/>
    <xdr:pic>
      <xdr:nvPicPr>
        <xdr:cNvPr id="8" name="939b8662-e816-4229-b45b-07671e0f67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c67a2f79d4c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15</xdr:row>
      <xdr:rowOff>142875</xdr:rowOff>
    </xdr:from>
    <xdr:ext cx="1524000" cy="638175"/>
    <xdr:pic>
      <xdr:nvPicPr>
        <xdr:cNvPr id="9" name="917aaa5a-173b-4b90-bd41-d57e518cd8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cde907eb34b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16</xdr:row>
      <xdr:rowOff>142875</xdr:rowOff>
    </xdr:from>
    <xdr:ext cx="1524000" cy="638175"/>
    <xdr:pic>
      <xdr:nvPicPr>
        <xdr:cNvPr id="10" name="e06fef18-640b-4506-966b-fd9073bbc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385be714ea49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17</xdr:row>
      <xdr:rowOff>142875</xdr:rowOff>
    </xdr:from>
    <xdr:ext cx="1524000" cy="638175"/>
    <xdr:pic>
      <xdr:nvPicPr>
        <xdr:cNvPr id="11" name="bbc290a7-c920-435c-93c5-c019571e72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9bdf4c5d9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18</xdr:row>
      <xdr:rowOff>142875</xdr:rowOff>
    </xdr:from>
    <xdr:ext cx="1524000" cy="638175"/>
    <xdr:pic>
      <xdr:nvPicPr>
        <xdr:cNvPr id="12" name="4cc1c8b5-a7c2-4dfe-b813-4b3f854f67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fd327e1b68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19</xdr:row>
      <xdr:rowOff>142875</xdr:rowOff>
    </xdr:from>
    <xdr:ext cx="1524000" cy="638175"/>
    <xdr:pic>
      <xdr:nvPicPr>
        <xdr:cNvPr id="13" name="834c5f35-1dc3-490b-b980-233a3eb123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885a07e376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20</xdr:row>
      <xdr:rowOff>142875</xdr:rowOff>
    </xdr:from>
    <xdr:ext cx="1524000" cy="638175"/>
    <xdr:pic>
      <xdr:nvPicPr>
        <xdr:cNvPr id="14" name="dab69809-e3ff-4381-9673-52d2d38fd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1a5b588b8443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21</xdr:row>
      <xdr:rowOff>142875</xdr:rowOff>
    </xdr:from>
    <xdr:ext cx="1524000" cy="638175"/>
    <xdr:pic>
      <xdr:nvPicPr>
        <xdr:cNvPr id="15" name="ca1a56fe-90e4-46b6-b23f-a980ad6990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a0976eaa9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22</xdr:row>
      <xdr:rowOff>142875</xdr:rowOff>
    </xdr:from>
    <xdr:ext cx="1524000" cy="638175"/>
    <xdr:pic>
      <xdr:nvPicPr>
        <xdr:cNvPr id="16" name="a5091af9-dfb5-4501-bfc4-20a3e638f5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19369bbf994c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23</xdr:row>
      <xdr:rowOff>142875</xdr:rowOff>
    </xdr:from>
    <xdr:ext cx="1524000" cy="638175"/>
    <xdr:pic>
      <xdr:nvPicPr>
        <xdr:cNvPr id="17" name="c2cf5b92-d7ed-4ab9-a077-01552cc80a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17e1e2155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24</xdr:row>
      <xdr:rowOff>142875</xdr:rowOff>
    </xdr:from>
    <xdr:ext cx="1524000" cy="638175"/>
    <xdr:pic>
      <xdr:nvPicPr>
        <xdr:cNvPr id="18" name="8e7f5400-8696-4e2a-bafc-b583683d96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05e0992f549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25</xdr:row>
      <xdr:rowOff>142875</xdr:rowOff>
    </xdr:from>
    <xdr:ext cx="1524000" cy="638175"/>
    <xdr:pic>
      <xdr:nvPicPr>
        <xdr:cNvPr id="19" name="1e196c2b-c000-4741-9c07-7ff9910be2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b867b450344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26</xdr:row>
      <xdr:rowOff>142875</xdr:rowOff>
    </xdr:from>
    <xdr:ext cx="1524000" cy="638175"/>
    <xdr:pic>
      <xdr:nvPicPr>
        <xdr:cNvPr id="20" name="15d4a218-edeb-491a-bfa1-dcf1f0027f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fff047944a4f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27</xdr:row>
      <xdr:rowOff>142875</xdr:rowOff>
    </xdr:from>
    <xdr:ext cx="1524000" cy="638175"/>
    <xdr:pic>
      <xdr:nvPicPr>
        <xdr:cNvPr id="21" name="460037d8-50e6-4ac3-bbaa-a55be66afa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2c9cbeb8c849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28</xdr:row>
      <xdr:rowOff>142875</xdr:rowOff>
    </xdr:from>
    <xdr:ext cx="1524000" cy="638175"/>
    <xdr:pic>
      <xdr:nvPicPr>
        <xdr:cNvPr id="22" name="c4cf5ce2-48b4-4cd3-9fa1-264dbcbc0c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4d4d92305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29</xdr:row>
      <xdr:rowOff>142875</xdr:rowOff>
    </xdr:from>
    <xdr:ext cx="1524000" cy="638175"/>
    <xdr:pic>
      <xdr:nvPicPr>
        <xdr:cNvPr id="23" name="3adfdaef-264d-43e6-abd3-2da82f0957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c7d5be4c04e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30</xdr:row>
      <xdr:rowOff>142875</xdr:rowOff>
    </xdr:from>
    <xdr:ext cx="1524000" cy="638175"/>
    <xdr:pic>
      <xdr:nvPicPr>
        <xdr:cNvPr id="24" name="9e1f273f-4a89-4dd0-a7b6-592ec3f172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5a0640fc1e4d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31</xdr:row>
      <xdr:rowOff>142875</xdr:rowOff>
    </xdr:from>
    <xdr:ext cx="1524000" cy="638175"/>
    <xdr:pic>
      <xdr:nvPicPr>
        <xdr:cNvPr id="25" name="6e778066-d676-44f8-b20f-10e9e25d3c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3ea05eef6648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32</xdr:row>
      <xdr:rowOff>142875</xdr:rowOff>
    </xdr:from>
    <xdr:ext cx="1524000" cy="638175"/>
    <xdr:pic>
      <xdr:nvPicPr>
        <xdr:cNvPr id="26" name="1ee1c49a-4cc8-4ad5-a118-cb49d492f6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077024dac43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33</xdr:row>
      <xdr:rowOff>142875</xdr:rowOff>
    </xdr:from>
    <xdr:ext cx="1524000" cy="638175"/>
    <xdr:pic>
      <xdr:nvPicPr>
        <xdr:cNvPr id="27" name="e088e0c1-70d8-4266-ac06-7ae4197a6b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2f873a3c7147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34</xdr:row>
      <xdr:rowOff>142875</xdr:rowOff>
    </xdr:from>
    <xdr:ext cx="1524000" cy="638175"/>
    <xdr:pic>
      <xdr:nvPicPr>
        <xdr:cNvPr id="28" name="bd253ca5-586d-4660-b694-644ff1f293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cb05919924f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35</xdr:row>
      <xdr:rowOff>142875</xdr:rowOff>
    </xdr:from>
    <xdr:ext cx="1524000" cy="638175"/>
    <xdr:pic>
      <xdr:nvPicPr>
        <xdr:cNvPr id="29" name="2e9986c6-274a-4652-b863-f20d8bb798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db282e225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36</xdr:row>
      <xdr:rowOff>142875</xdr:rowOff>
    </xdr:from>
    <xdr:ext cx="1524000" cy="638175"/>
    <xdr:pic>
      <xdr:nvPicPr>
        <xdr:cNvPr id="30" name="b7ef81e4-7246-42d3-bd6b-d4d74380f5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88e71968142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37</xdr:row>
      <xdr:rowOff>142875</xdr:rowOff>
    </xdr:from>
    <xdr:ext cx="1524000" cy="638175"/>
    <xdr:pic>
      <xdr:nvPicPr>
        <xdr:cNvPr id="31" name="951de6fb-6068-410f-935a-9f1e76391b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7a5737b6d742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38</xdr:row>
      <xdr:rowOff>142875</xdr:rowOff>
    </xdr:from>
    <xdr:ext cx="1524000" cy="638175"/>
    <xdr:pic>
      <xdr:nvPicPr>
        <xdr:cNvPr id="32" name="ddc9fbfe-98fc-4e7f-ac5a-8b340b881b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fd7d416b045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39</xdr:row>
      <xdr:rowOff>142875</xdr:rowOff>
    </xdr:from>
    <xdr:ext cx="1524000" cy="638175"/>
    <xdr:pic>
      <xdr:nvPicPr>
        <xdr:cNvPr id="33" name="e2452e73-ba9f-48e5-9e2e-ab080f7de1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d33531ddc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40</xdr:row>
      <xdr:rowOff>142875</xdr:rowOff>
    </xdr:from>
    <xdr:ext cx="1524000" cy="638175"/>
    <xdr:pic>
      <xdr:nvPicPr>
        <xdr:cNvPr id="34" name="ee5080ff-b174-4581-af04-6fce9c51a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5df90ddc45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41</xdr:row>
      <xdr:rowOff>142875</xdr:rowOff>
    </xdr:from>
    <xdr:ext cx="1524000" cy="638175"/>
    <xdr:pic>
      <xdr:nvPicPr>
        <xdr:cNvPr id="35" name="54fa2e25-6669-4fb6-b352-e37c44fc29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f40dd1b874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42</xdr:row>
      <xdr:rowOff>142875</xdr:rowOff>
    </xdr:from>
    <xdr:ext cx="1524000" cy="638175"/>
    <xdr:pic>
      <xdr:nvPicPr>
        <xdr:cNvPr id="36" name="50e907a7-db17-4326-862d-b3d204bd94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99a98aeaee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43</xdr:row>
      <xdr:rowOff>142875</xdr:rowOff>
    </xdr:from>
    <xdr:ext cx="1524000" cy="638175"/>
    <xdr:pic>
      <xdr:nvPicPr>
        <xdr:cNvPr id="37" name="05108e27-41a2-4ede-84ff-05f713d3f7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086599ff3747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44</xdr:row>
      <xdr:rowOff>142875</xdr:rowOff>
    </xdr:from>
    <xdr:ext cx="1524000" cy="638175"/>
    <xdr:pic>
      <xdr:nvPicPr>
        <xdr:cNvPr id="38" name="78bc0fa3-8656-4f2d-8a1a-dbcc6b8884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5a026b359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BusinessDirectory" displayName="BusinessDirectory" ref="A7:P45" headerRowCount="1" totalsRowCount="0" totalsRowShown="0">
  <x:tableColumns count="16">
    <x:tableColumn id="1" name="Logo"/>
    <x:tableColumn id="2" name="Record ID"/>
    <x:tableColumn id="3" name="Organization"/>
    <x:tableColumn id="4" name="Membership"/>
    <x:tableColumn id="5" name="Website domain"/>
    <x:tableColumn id="6" name="Listed website"/>
    <x:tableColumn id="7" name="Page title"/>
    <x:tableColumn id="8" name="Website description"/>
    <x:tableColumn id="9" name="Public email"/>
    <x:tableColumn id="10" name="Contact page"/>
    <x:tableColumn id="11" name="LinkedIn company"/>
    <x:tableColumn id="12" name="Website research"/>
    <x:tableColumn id="13" name="Research source"/>
    <x:tableColumn id="14" name="Image source"/>
    <x:tableColumn id="15" name="Captured UTC"/>
    <x:tableColumn id="16" name="HTTP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1e383254586411d" /><Relationship Type="http://schemas.openxmlformats.org/officeDocument/2006/relationships/table" Target="/xl/tables/table1.xml" Id="R6e28937731a94e5a" /></Relationships>
</file>

<file path=xl/worksheets/sheet1.xml><?xml version="1.0" encoding="utf-8"?>
<x:worksheet xmlns:x="http://schemas.openxmlformats.org/spreadsheetml/2006/main">
  <x:sheetPr>
    <x:tabColor rgb="FF183A66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Public business directory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2" customHeight="1">
      <x:c r="A4" s="4" t="str">
        <x:v>Organizations</x:v>
      </x:c>
      <x:c r="B4" s="4"/>
      <x:c r="C4" s="4" t="str">
        <x:v>Website pages retrieved</x:v>
      </x:c>
      <x:c r="D4" s="4"/>
      <x:c r="E4" s="4" t="str">
        <x:v>Images downloaded</x:v>
      </x:c>
      <x:c r="F4" s="4"/>
      <x:c r="G4" s="4" t="str">
        <x:v>Pages needing review</x:v>
      </x:c>
      <x:c r="H4" s="4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5" t="n">
        <x:f>COUNTA(Directory!C8:C45)</x:f>
        <x:v>38</x:v>
      </x:c>
      <x:c r="B5" s="5"/>
      <x:c r="C5" s="5" t="n">
        <x:f>COUNTIFS(Directory!L8:L45,"Page retrieved")</x:f>
        <x:v>35</x:v>
      </x:c>
      <x:c r="D5" s="5"/>
      <x:c r="E5" s="5" t="n">
        <x:v>38</x:v>
      </x:c>
      <x:c r="F5" s="5"/>
      <x:c r="G5" s="5" t="n">
        <x:f>A5-C5</x:f>
        <x:v>3</x:v>
      </x:c>
      <x:c r="H5" s="5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0" customHeight="1">
      <x:c r="A8" s="10" t="str">
        <x:v>Membership</x:v>
      </x:c>
      <x:c r="B8" s="10" t="str">
        <x:v>Organizations</x:v>
      </x:c>
      <x:c r="C8" s="10" t="str">
        <x:v>Share</x:v>
      </x:c>
      <x:c r="D8" s="2"/>
      <x:c r="E8" s="10" t="str">
        <x:v>Research coverage</x:v>
      </x:c>
      <x:c r="F8" s="10"/>
      <x:c r="G8" s="10"/>
      <x:c r="H8" s="10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Platinum</x:v>
      </x:c>
      <x:c r="B9" s="2" t="n">
        <x:f>COUNTIFS(Directory!D8:D45,A9)</x:f>
        <x:v>4</x:v>
      </x:c>
      <x:c r="C9" s="6" t="n">
        <x:f>B9/$A$5</x:f>
        <x:v>0.10526315789473684</x:v>
      </x:c>
      <x:c r="D9" s="2"/>
      <x:c r="E9" s="2" t="str">
        <x:v>Public business emails found</x:v>
      </x:c>
      <x:c r="F9" s="2"/>
      <x:c r="G9" s="2"/>
      <x:c r="H9" s="2" t="n">
        <x:v>14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 t="str">
        <x:v>Gold</x:v>
      </x:c>
      <x:c r="B10" s="2" t="n">
        <x:f>COUNTIFS(Directory!D8:D45,A10)</x:f>
        <x:v>5</x:v>
      </x:c>
      <x:c r="C10" s="6" t="n">
        <x:f>B10/$A$5</x:f>
        <x:v>0.13157894736842105</x:v>
      </x:c>
      <x:c r="D10" s="2"/>
      <x:c r="E10" s="2" t="str">
        <x:v>Duplicate records removed</x:v>
      </x:c>
      <x:c r="F10" s="2"/>
      <x:c r="G10" s="2"/>
      <x:c r="H10" s="2" t="n">
        <x:v>0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 t="str">
        <x:v>Silver</x:v>
      </x:c>
      <x:c r="B11" s="2" t="n">
        <x:f>COUNTIFS(Directory!D8:D45,A11)</x:f>
        <x:v>14</x:v>
      </x:c>
      <x:c r="C11" s="6" t="n">
        <x:f>B11/$A$5</x:f>
        <x:v>0.3684210526315789</x:v>
      </x:c>
      <x:c r="D11" s="2"/>
      <x:c r="E11" s="2" t="str">
        <x:v>Alphabetical ordering</x:v>
      </x:c>
      <x:c r="F11" s="2"/>
      <x:c r="G11" s="2"/>
      <x:c r="H11" s="2" t="str">
        <x:v>A-Z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 t="str">
        <x:v>Bronze</x:v>
      </x:c>
      <x:c r="B12" s="2" t="n">
        <x:f>COUNTIFS(Directory!D8:D45,A12)</x:f>
        <x:v>15</x:v>
      </x:c>
      <x:c r="C12" s="6" t="n">
        <x:f>B12/$A$5</x:f>
        <x:v>0.39473684210526316</x:v>
      </x:c>
      <x:c r="D12" s="2"/>
      <x:c r="E12" s="2" t="str">
        <x:v>Capture date (Lima)</x:v>
      </x:c>
      <x:c r="F12" s="2"/>
      <x:c r="G12" s="2"/>
      <x:c r="H12" s="2" t="str">
        <x:v>2026-10-04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7" t="str">
        <x:v>Directory snapshot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30" customHeight="1">
      <x:c r="A17" s="10" t="str">
        <x:v>Organization</x:v>
      </x:c>
      <x:c r="B17" s="10"/>
      <x:c r="C17" s="10"/>
      <x:c r="D17" s="10" t="str">
        <x:v>Membership</x:v>
      </x:c>
      <x:c r="E17" s="10" t="str">
        <x:v>Website domain</x:v>
      </x:c>
      <x:c r="F17" s="10"/>
      <x:c r="G17" s="10" t="str">
        <x:v>Website research</x:v>
      </x:c>
      <x:c r="H17" s="10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33" customHeight="1">
      <x:c r="A18" s="11" t="str">
        <x:v>American Express</x:v>
      </x:c>
      <x:c r="B18" s="11"/>
      <x:c r="C18" s="11"/>
      <x:c r="D18" s="11" t="str">
        <x:v>Silver</x:v>
      </x:c>
      <x:c r="E18" s="11" t="str">
        <x:v>americanexpress.com</x:v>
      </x:c>
      <x:c r="F18" s="11"/>
      <x:c r="G18" s="11" t="str">
        <x:v>Retrieved</x:v>
      </x:c>
      <x:c r="H18" s="11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3" customHeight="1">
      <x:c r="A19" s="2" t="str">
        <x:v>Arcanite</x:v>
      </x:c>
      <x:c r="B19" s="2"/>
      <x:c r="C19" s="2"/>
      <x:c r="D19" s="2" t="str">
        <x:v>Bronze</x:v>
      </x:c>
      <x:c r="E19" s="2" t="str">
        <x:v>arcanite.ch</x:v>
      </x:c>
      <x:c r="F19" s="2"/>
      <x:c r="G19" s="2" t="str">
        <x:v>Retrieved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3" customHeight="1">
      <x:c r="A20" s="11" t="str">
        <x:v>Authentik Security</x:v>
      </x:c>
      <x:c r="B20" s="11"/>
      <x:c r="C20" s="11"/>
      <x:c r="D20" s="11" t="str">
        <x:v>Bronze</x:v>
      </x:c>
      <x:c r="E20" s="11" t="str">
        <x:v>goauthentik.io</x:v>
      </x:c>
      <x:c r="F20" s="11"/>
      <x:c r="G20" s="11" t="str">
        <x:v>Retrieved</x:v>
      </x:c>
      <x:c r="H20" s="11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33" customHeight="1">
      <x:c r="A21" s="2" t="str">
        <x:v>BlockBee</x:v>
      </x:c>
      <x:c r="B21" s="2"/>
      <x:c r="C21" s="2"/>
      <x:c r="D21" s="2" t="str">
        <x:v>Gold</x:v>
      </x:c>
      <x:c r="E21" s="2" t="str">
        <x:v>blockbee.io</x:v>
      </x:c>
      <x:c r="F21" s="2"/>
      <x:c r="G21" s="2" t="str">
        <x:v>Retrieved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33" customHeight="1">
      <x:c r="A22" s="11" t="str">
        <x:v>Boomerang</x:v>
      </x:c>
      <x:c r="B22" s="11"/>
      <x:c r="C22" s="11"/>
      <x:c r="D22" s="11" t="str">
        <x:v>Bronze</x:v>
      </x:c>
      <x:c r="E22" s="11" t="str">
        <x:v>boomerangapp.com</x:v>
      </x:c>
      <x:c r="F22" s="11"/>
      <x:c r="G22" s="11" t="str">
        <x:v>Retrieved</x:v>
      </x:c>
      <x:c r="H22" s="11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33" customHeight="1">
      <x:c r="A23" s="2" t="str">
        <x:v>Caktus Group</x:v>
      </x:c>
      <x:c r="B23" s="2"/>
      <x:c r="C23" s="2"/>
      <x:c r="D23" s="2" t="str">
        <x:v>Gold</x:v>
      </x:c>
      <x:c r="E23" s="2" t="str">
        <x:v>caktusgroup.com</x:v>
      </x:c>
      <x:c r="F23" s="2"/>
      <x:c r="G23" s="2" t="str">
        <x:v>Retrieved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33" customHeight="1">
      <x:c r="A24" s="11" t="str">
        <x:v>CHARTWELL Resource Group Ltd.</x:v>
      </x:c>
      <x:c r="B24" s="11"/>
      <x:c r="C24" s="11"/>
      <x:c r="D24" s="11" t="str">
        <x:v>Bronze</x:v>
      </x:c>
      <x:c r="E24" s="11" t="str">
        <x:v>crgl.ca</x:v>
      </x:c>
      <x:c r="F24" s="11"/>
      <x:c r="G24" s="11" t="str">
        <x:v>Retrieved</x:v>
      </x:c>
      <x:c r="H24" s="11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33" customHeight="1">
      <x:c r="A25" s="2" t="str">
        <x:v>CoreUpdate</x:v>
      </x:c>
      <x:c r="B25" s="2"/>
      <x:c r="C25" s="2"/>
      <x:c r="D25" s="2" t="str">
        <x:v>Silver</x:v>
      </x:c>
      <x:c r="E25" s="2" t="str">
        <x:v>coreupdate.com</x:v>
      </x:c>
      <x:c r="F25" s="2"/>
      <x:c r="G25" s="2" t="str">
        <x:v>Retrieved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8" t="str">
        <x:v>Research scope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4" t="str">
        <x:v>Names, membership and images: official DSF directory. Website metadata and links: listed company pages.</x:v>
      </x:c>
      <x:c r="B29" s="4"/>
      <x:c r="C29" s="4"/>
      <x:c r="D29" s="4"/>
      <x:c r="E29" s="4"/>
      <x:c r="F29" s="4"/>
      <x:c r="G29" s="4"/>
      <x:c r="H29" s="4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4" t="str">
        <x:v>Blank email/contact fields mean not found on the retrieved page. Retrieved does not mean every field is complete.</x:v>
      </x:c>
      <x:c r="B30" s="4"/>
      <x:c r="C30" s="4"/>
      <x:c r="D30" s="4"/>
      <x:c r="E30" s="4"/>
      <x:c r="F30" s="4"/>
      <x:c r="G30" s="4"/>
      <x:c r="H30" s="4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7D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31" hidden="0" customWidth="1"/>
    <x:col min="4" max="4" width="15" hidden="0" customWidth="1"/>
    <x:col min="5" max="5" width="26" hidden="0" customWidth="1"/>
    <x:col min="6" max="6" width="40" hidden="0" customWidth="1"/>
    <x:col min="7" max="7" width="45" hidden="0" customWidth="1"/>
    <x:col min="8" max="8" width="65" hidden="0" customWidth="1"/>
    <x:col min="9" max="9" width="34" hidden="0" customWidth="1"/>
    <x:col min="10" max="10" width="40" hidden="0" customWidth="1"/>
    <x:col min="11" max="11" width="42" hidden="0" customWidth="1"/>
    <x:col min="12" max="12" width="35" hidden="0" customWidth="1"/>
    <x:col min="13" max="13" width="45" hidden="0" customWidth="1"/>
    <x:col min="14" max="14" width="45" hidden="0" customWidth="1"/>
    <x:col min="15" max="15" width="30" hidden="0" customWidth="1"/>
    <x:col min="16" max="16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Business directory database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Directory source: https://www.djangoproject.com/foundation/corporate-members/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Website fields are extracted from each linked company page. Blank values remain unavailable; no inferred contact details.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2" customHeight="1">
      <x:c r="A7" s="13" t="str">
        <x:v>Logo</x:v>
      </x:c>
      <x:c r="B7" s="13" t="str">
        <x:v>Record ID</x:v>
      </x:c>
      <x:c r="C7" s="13" t="str">
        <x:v>Organization</x:v>
      </x:c>
      <x:c r="D7" s="13" t="str">
        <x:v>Membership</x:v>
      </x:c>
      <x:c r="E7" s="13" t="str">
        <x:v>Website domain</x:v>
      </x:c>
      <x:c r="F7" s="13" t="str">
        <x:v>Listed website</x:v>
      </x:c>
      <x:c r="G7" s="13" t="str">
        <x:v>Page title</x:v>
      </x:c>
      <x:c r="H7" s="13" t="str">
        <x:v>Website description</x:v>
      </x:c>
      <x:c r="I7" s="13" t="str">
        <x:v>Public email</x:v>
      </x:c>
      <x:c r="J7" s="13" t="str">
        <x:v>Contact page</x:v>
      </x:c>
      <x:c r="K7" s="13" t="str">
        <x:v>LinkedIn company</x:v>
      </x:c>
      <x:c r="L7" s="13" t="str">
        <x:v>Website research</x:v>
      </x:c>
      <x:c r="M7" s="13" t="str">
        <x:v>Research source</x:v>
      </x:c>
      <x:c r="N7" s="13" t="str">
        <x:v>Image source</x:v>
      </x:c>
      <x:c r="O7" s="13" t="str">
        <x:v>Captured UTC</x:v>
      </x:c>
      <x:c r="P7" s="13" t="str">
        <x:v>HTTP status</x:v>
      </x:c>
      <x:c r="Q7" s="2"/>
    </x:row>
    <x:row r="8" ht="82" customHeight="1">
      <x:c r="A8" s="12" t="str"/>
      <x:c r="B8" s="12" t="str">
        <x:v>ORG-001</x:v>
      </x:c>
      <x:c r="C8" s="12" t="str">
        <x:v>American Express</x:v>
      </x:c>
      <x:c r="D8" s="12" t="str">
        <x:v>Silver</x:v>
      </x:c>
      <x:c r="E8" s="12" t="str">
        <x:v>americanexpress.com</x:v>
      </x:c>
      <x:c r="F8" s="12" t="str">
        <x:v>https://www.americanexpress.com</x:v>
      </x:c>
      <x:c r="G8" s="12" t="str">
        <x:v>American Express Credit Cards, Rewards &amp; Banking</x:v>
      </x:c>
      <x:c r="H8" s="12" t="str">
        <x:v>American Express offers world-class Charge and Credit Cards, Gift Cards, Rewards, Travel, Personal Savings, Business Services, Insurance and more.</x:v>
      </x:c>
      <x:c r="I8" s="12" t="str"/>
      <x:c r="J8" s="12" t="str"/>
      <x:c r="K8" s="12" t="str">
        <x:v>https://www.linkedin.com/company/american-express</x:v>
      </x:c>
      <x:c r="L8" s="12" t="str">
        <x:v>Page retrieved</x:v>
      </x:c>
      <x:c r="M8" s="12" t="str">
        <x:v>https://www.americanexpress.com</x:v>
      </x:c>
      <x:c r="N8" s="12" t="str">
        <x:v>https://media.djangoproject.com/cache/8e/8f/8e8f6c02ad5a5de6a35108227cd65dda.png</x:v>
      </x:c>
      <x:c r="O8" s="12" t="n">
        <x:v>46300.08409722222</x:v>
      </x:c>
      <x:c r="P8" s="12" t="n">
        <x:v>200</x:v>
      </x:c>
      <x:c r="Q8" s="2"/>
    </x:row>
    <x:row r="9" ht="82" customHeight="1">
      <x:c r="A9" s="12" t="str"/>
      <x:c r="B9" s="12" t="str">
        <x:v>ORG-002</x:v>
      </x:c>
      <x:c r="C9" s="12" t="str">
        <x:v>Arcanite</x:v>
      </x:c>
      <x:c r="D9" s="12" t="str">
        <x:v>Bronze</x:v>
      </x:c>
      <x:c r="E9" s="12" t="str">
        <x:v>arcanite.ch</x:v>
      </x:c>
      <x:c r="F9" s="12" t="str">
        <x:v>https://www.arcanite.ch/</x:v>
      </x:c>
      <x:c r="G9" s="12" t="str">
        <x:v>Arcanite</x:v>
      </x:c>
      <x:c r="H9" s="12" t="str"/>
      <x:c r="I9" s="12" t="str"/>
      <x:c r="J9" s="12" t="str"/>
      <x:c r="K9" s="12" t="str">
        <x:v>https://www.linkedin.com/company/arcanite-solutions-sarl</x:v>
      </x:c>
      <x:c r="L9" s="12" t="str">
        <x:v>Page retrieved</x:v>
      </x:c>
      <x:c r="M9" s="12" t="str">
        <x:v>https://www.arcanite.ch/</x:v>
      </x:c>
      <x:c r="N9" s="12" t="str">
        <x:v>https://media.djangoproject.com/cache/44/dc/44dc8a1e97bcaa3100cba0b343b33af1.png</x:v>
      </x:c>
      <x:c r="O9" s="12" t="n">
        <x:v>46300.08409722222</x:v>
      </x:c>
      <x:c r="P9" s="12" t="n">
        <x:v>200</x:v>
      </x:c>
      <x:c r="Q9" s="2"/>
    </x:row>
    <x:row r="10" ht="82" customHeight="1">
      <x:c r="A10" s="12" t="str"/>
      <x:c r="B10" s="12" t="str">
        <x:v>ORG-003</x:v>
      </x:c>
      <x:c r="C10" s="12" t="str">
        <x:v>Authentik Security</x:v>
      </x:c>
      <x:c r="D10" s="12" t="str">
        <x:v>Bronze</x:v>
      </x:c>
      <x:c r="E10" s="12" t="str">
        <x:v>goauthentik.io</x:v>
      </x:c>
      <x:c r="F10" s="12" t="str">
        <x:v>https://goauthentik.io</x:v>
      </x:c>
      <x:c r="G10" s="12" t="str">
        <x:v>Welcome | authentik</x:v>
      </x:c>
      <x:c r="H10" s="12" t="str">
        <x:v>Bring all of your authentication into a unified platform.</x:v>
      </x:c>
      <x:c r="I10" s="12" t="str"/>
      <x:c r="J10" s="12" t="str">
        <x:v>https://goauthentik.io/contact/</x:v>
      </x:c>
      <x:c r="K10" s="12" t="str"/>
      <x:c r="L10" s="12" t="str">
        <x:v>Page retrieved</x:v>
      </x:c>
      <x:c r="M10" s="12" t="str">
        <x:v>https://goauthentik.io</x:v>
      </x:c>
      <x:c r="N10" s="12" t="str">
        <x:v>https://media.djangoproject.com/cache/05/6b/056b49812b7beba1944f91d1da3721cc.png</x:v>
      </x:c>
      <x:c r="O10" s="12" t="n">
        <x:v>46300.08409722222</x:v>
      </x:c>
      <x:c r="P10" s="12" t="n">
        <x:v>200</x:v>
      </x:c>
      <x:c r="Q10" s="2"/>
    </x:row>
    <x:row r="11" ht="82" customHeight="1">
      <x:c r="A11" s="12" t="str"/>
      <x:c r="B11" s="12" t="str">
        <x:v>ORG-004</x:v>
      </x:c>
      <x:c r="C11" s="12" t="str">
        <x:v>BlockBee</x:v>
      </x:c>
      <x:c r="D11" s="12" t="str">
        <x:v>Gold</x:v>
      </x:c>
      <x:c r="E11" s="12" t="str">
        <x:v>blockbee.io</x:v>
      </x:c>
      <x:c r="F11" s="12" t="str">
        <x:v>https://blockbee.io/?ref=django</x:v>
      </x:c>
      <x:c r="G11" s="12" t="str">
        <x:v>BlockBee</x:v>
      </x:c>
      <x:c r="H11" s="12" t="str">
        <x:v>BlockBee is a cryptocurrency payment gateway that allows you to accept cryptocurrencies in your business.</x:v>
      </x:c>
      <x:c r="I11" s="12" t="str"/>
      <x:c r="J11" s="12" t="str"/>
      <x:c r="K11" s="12" t="str">
        <x:v>https://www.linkedin.com/company/blockbee/jobs/</x:v>
      </x:c>
      <x:c r="L11" s="12" t="str">
        <x:v>Page retrieved</x:v>
      </x:c>
      <x:c r="M11" s="12" t="str">
        <x:v>https://blockbee.io/?ref=django</x:v>
      </x:c>
      <x:c r="N11" s="12" t="str">
        <x:v>https://media.djangoproject.com/cache/b8/c9/b8c944ece27bc2b564a03846db6c28fa.png</x:v>
      </x:c>
      <x:c r="O11" s="12" t="n">
        <x:v>46300.08409722222</x:v>
      </x:c>
      <x:c r="P11" s="12" t="n">
        <x:v>200</x:v>
      </x:c>
      <x:c r="Q11" s="2"/>
    </x:row>
    <x:row r="12" ht="82" customHeight="1">
      <x:c r="A12" s="12" t="str"/>
      <x:c r="B12" s="12" t="str">
        <x:v>ORG-005</x:v>
      </x:c>
      <x:c r="C12" s="12" t="str">
        <x:v>Boomerang</x:v>
      </x:c>
      <x:c r="D12" s="12" t="str">
        <x:v>Bronze</x:v>
      </x:c>
      <x:c r="E12" s="12" t="str">
        <x:v>boomerangapp.com</x:v>
      </x:c>
      <x:c r="F12" s="12" t="str">
        <x:v>https://www.boomerangapp.com</x:v>
      </x:c>
      <x:c r="G12" s="12" t="str">
        <x:v>Meeting scheduling and email productivity | Boomerang</x:v>
      </x:c>
      <x:c r="H12" s="12" t="str">
        <x:v>Boomerang makes meeting scheduling and email productivity tools for everyone to use every day.</x:v>
      </x:c>
      <x:c r="I12" s="12" t="str">
        <x:v>support@baydin.com</x:v>
      </x:c>
      <x:c r="J12" s="12" t="str"/>
      <x:c r="K12" s="12" t="str">
        <x:v>https://www.linkedin.com/company/baydin</x:v>
      </x:c>
      <x:c r="L12" s="12" t="str">
        <x:v>Page retrieved</x:v>
      </x:c>
      <x:c r="M12" s="12" t="str">
        <x:v>https://www.boomerangapp.com</x:v>
      </x:c>
      <x:c r="N12" s="12" t="str">
        <x:v>https://media.djangoproject.com/cache/ca/46/ca46ff42eae363c0056c171a07f15bff.png</x:v>
      </x:c>
      <x:c r="O12" s="12" t="n">
        <x:v>46300.08409722222</x:v>
      </x:c>
      <x:c r="P12" s="12" t="n">
        <x:v>200</x:v>
      </x:c>
      <x:c r="Q12" s="2"/>
    </x:row>
    <x:row r="13" ht="82" customHeight="1">
      <x:c r="A13" s="12" t="str"/>
      <x:c r="B13" s="12" t="str">
        <x:v>ORG-006</x:v>
      </x:c>
      <x:c r="C13" s="12" t="str">
        <x:v>Caktus Group</x:v>
      </x:c>
      <x:c r="D13" s="12" t="str">
        <x:v>Gold</x:v>
      </x:c>
      <x:c r="E13" s="12" t="str">
        <x:v>caktusgroup.com</x:v>
      </x:c>
      <x:c r="F13" s="12" t="str">
        <x:v>http://www.caktusgroup.com/</x:v>
      </x:c>
      <x:c r="G13" s="12" t="str">
        <x:v>Caktus Group</x:v>
      </x:c>
      <x:c r="H13" s="12" t="str"/>
      <x:c r="I13" s="12" t="str"/>
      <x:c r="J13" s="12" t="str"/>
      <x:c r="K13" s="12" t="str"/>
      <x:c r="L13" s="12" t="str">
        <x:v>Page retrieved</x:v>
      </x:c>
      <x:c r="M13" s="12" t="str">
        <x:v>https://www.caktusgroup.com/</x:v>
      </x:c>
      <x:c r="N13" s="12" t="str">
        <x:v>https://media.djangoproject.com/cache/e6/d4/e6d4e82b9bf5abaab14b23c663914697.png</x:v>
      </x:c>
      <x:c r="O13" s="12" t="n">
        <x:v>46300.08409722222</x:v>
      </x:c>
      <x:c r="P13" s="12" t="n">
        <x:v>200</x:v>
      </x:c>
      <x:c r="Q13" s="2"/>
    </x:row>
    <x:row r="14" ht="82" customHeight="1">
      <x:c r="A14" s="12" t="str"/>
      <x:c r="B14" s="12" t="str">
        <x:v>ORG-007</x:v>
      </x:c>
      <x:c r="C14" s="12" t="str">
        <x:v>CHARTWELL Resource Group Ltd.</x:v>
      </x:c>
      <x:c r="D14" s="12" t="str">
        <x:v>Bronze</x:v>
      </x:c>
      <x:c r="E14" s="12" t="str">
        <x:v>crgl.ca</x:v>
      </x:c>
      <x:c r="F14" s="12" t="str">
        <x:v>https://www.crgl.ca</x:v>
      </x:c>
      <x:c r="G14" s="12" t="str">
        <x:v>Home - Chartwell</x:v>
      </x:c>
      <x:c r="H14" s="12" t="str">
        <x:v>Our services include Professional Forestry, Road and Bridge Engineering, Road/Asset Management, GIS and Mapping, LiDAR, Asset Inventory, and Project Management.</x:v>
      </x:c>
      <x:c r="I14" s="12" t="str"/>
      <x:c r="J14" s="12" t="str">
        <x:v>https://crgl.ca/contact-us/</x:v>
      </x:c>
      <x:c r="K14" s="12" t="str"/>
      <x:c r="L14" s="12" t="str">
        <x:v>Page retrieved</x:v>
      </x:c>
      <x:c r="M14" s="12" t="str">
        <x:v>https://crgl.ca/</x:v>
      </x:c>
      <x:c r="N14" s="12" t="str">
        <x:v>https://media.djangoproject.com/cache/3e/51/3e51e08e07bb6e1ccb0d01e4f605144c.png</x:v>
      </x:c>
      <x:c r="O14" s="12" t="n">
        <x:v>46300.08409722222</x:v>
      </x:c>
      <x:c r="P14" s="12" t="n">
        <x:v>200</x:v>
      </x:c>
      <x:c r="Q14" s="2"/>
    </x:row>
    <x:row r="15" ht="82" customHeight="1">
      <x:c r="A15" s="12" t="str"/>
      <x:c r="B15" s="12" t="str">
        <x:v>ORG-008</x:v>
      </x:c>
      <x:c r="C15" s="12" t="str">
        <x:v>CoreUpdate</x:v>
      </x:c>
      <x:c r="D15" s="12" t="str">
        <x:v>Silver</x:v>
      </x:c>
      <x:c r="E15" s="12" t="str">
        <x:v>coreupdate.com</x:v>
      </x:c>
      <x:c r="F15" s="12" t="str">
        <x:v>https://coreupdate.com/</x:v>
      </x:c>
      <x:c r="G15" s="12" t="str">
        <x:v>CoreUpdate - Automatisez vos mises à jour. Sans agent.</x:v>
      </x:c>
      <x:c r="H15" s="12" t="str">
        <x:v>Découvrez comment CoreUpdate automatise vos mises à jour applicatives pour vous faire gagner du temps et vous aider à réduire les risques.</x:v>
      </x:c>
      <x:c r="I15" s="12" t="str"/>
      <x:c r="J15" s="12" t="str"/>
      <x:c r="K15" s="12" t="str">
        <x:v>https://www.linkedin.com/company/galeax/</x:v>
      </x:c>
      <x:c r="L15" s="12" t="str">
        <x:v>Page retrieved</x:v>
      </x:c>
      <x:c r="M15" s="12" t="str">
        <x:v>https://coreupdate.com/</x:v>
      </x:c>
      <x:c r="N15" s="12" t="str">
        <x:v>https://media.djangoproject.com/cache/f3/35/f33590da5de05ef720a90761ef5af8dd.png</x:v>
      </x:c>
      <x:c r="O15" s="12" t="n">
        <x:v>46300.08409722222</x:v>
      </x:c>
      <x:c r="P15" s="12" t="n">
        <x:v>200</x:v>
      </x:c>
      <x:c r="Q15" s="2"/>
    </x:row>
    <x:row r="16" ht="82" customHeight="1">
      <x:c r="A16" s="12" t="str"/>
      <x:c r="B16" s="12" t="str">
        <x:v>ORG-009</x:v>
      </x:c>
      <x:c r="C16" s="12" t="str">
        <x:v>Dedomainia LTD</x:v>
      </x:c>
      <x:c r="D16" s="12" t="str">
        <x:v>Bronze</x:v>
      </x:c>
      <x:c r="E16" s="12" t="str">
        <x:v>dedomainia.co.uk</x:v>
      </x:c>
      <x:c r="F16" s="12" t="str">
        <x:v>https://www.dedomainia.co.uk/</x:v>
      </x:c>
      <x:c r="G16" s="12" t="str">
        <x:v>Dedomainia | Experts of longevity risk</x:v>
      </x:c>
      <x:c r="H16" s="12" t="str">
        <x:v>Longevity operations are hard, we make it easy. Dedomainia is an insurtech company offering an eco-system solutions to facilitate longevity operations and longevity swap between all stakeholders.</x:v>
      </x:c>
      <x:c r="I16" s="12" t="str"/>
      <x:c r="J16" s="12" t="str"/>
      <x:c r="K16" s="12" t="str">
        <x:v>https://www.linkedin.com/company/dedomainia/mycompany/</x:v>
      </x:c>
      <x:c r="L16" s="12" t="str">
        <x:v>Page retrieved</x:v>
      </x:c>
      <x:c r="M16" s="12" t="str">
        <x:v>https://www.dedomainia.co.uk/</x:v>
      </x:c>
      <x:c r="N16" s="12" t="str">
        <x:v>https://media.djangoproject.com/cache/f7/44/f7447ebd95b1e9696ab6d03a571c8ff1.jpg</x:v>
      </x:c>
      <x:c r="O16" s="12" t="n">
        <x:v>46300.08409722222</x:v>
      </x:c>
      <x:c r="P16" s="12" t="n">
        <x:v>200</x:v>
      </x:c>
      <x:c r="Q16" s="2"/>
    </x:row>
    <x:row r="17" ht="82" customHeight="1">
      <x:c r="A17" s="12" t="str"/>
      <x:c r="B17" s="12" t="str">
        <x:v>ORG-010</x:v>
      </x:c>
      <x:c r="C17" s="12" t="str">
        <x:v>DEFNA</x:v>
      </x:c>
      <x:c r="D17" s="12" t="str">
        <x:v>Silver</x:v>
      </x:c>
      <x:c r="E17" s="12" t="str">
        <x:v>defna.org</x:v>
      </x:c>
      <x:c r="F17" s="12" t="str">
        <x:v>https://www.defna.org/</x:v>
      </x:c>
      <x:c r="G17" s="12" t="str">
        <x:v>Home — Django Events Foundation North America</x:v>
      </x:c>
      <x:c r="H17" s="12" t="str">
        <x:v>Django Events Foundation North America — supporting the Django community through DjangoCon US, grants, and sponsored events since 2015.</x:v>
      </x:c>
      <x:c r="I17" s="12" t="str"/>
      <x:c r="J17" s="12" t="str">
        <x:v>https://www.defna.org/contact/</x:v>
      </x:c>
      <x:c r="K17" s="12" t="str"/>
      <x:c r="L17" s="12" t="str">
        <x:v>Page retrieved</x:v>
      </x:c>
      <x:c r="M17" s="12" t="str">
        <x:v>https://www.defna.org/</x:v>
      </x:c>
      <x:c r="N17" s="12" t="str">
        <x:v>https://media.djangoproject.com/cache/d0/dc/d0dcc2546bcfd59c8c6d32e131132eb4.png</x:v>
      </x:c>
      <x:c r="O17" s="12" t="n">
        <x:v>46300.08409722222</x:v>
      </x:c>
      <x:c r="P17" s="12" t="n">
        <x:v>200</x:v>
      </x:c>
      <x:c r="Q17" s="2"/>
    </x:row>
    <x:row r="18" ht="82" customHeight="1">
      <x:c r="A18" s="12" t="str"/>
      <x:c r="B18" s="12" t="str">
        <x:v>ORG-011</x:v>
      </x:c>
      <x:c r="C18" s="12" t="str">
        <x:v>Django Danmark</x:v>
      </x:c>
      <x:c r="D18" s="12" t="str">
        <x:v>Bronze</x:v>
      </x:c>
      <x:c r="E18" s="12" t="str">
        <x:v>django-denmark.org</x:v>
      </x:c>
      <x:c r="F18" s="12" t="str">
        <x:v>https://django-denmark.org/</x:v>
      </x:c>
      <x:c r="G18" s="12" t="str">
        <x:v>Django Denmark</x:v>
      </x:c>
      <x:c r="H18" s="12" t="str"/>
      <x:c r="I18" s="12" t="str">
        <x:v>info@django-denmark.org</x:v>
      </x:c>
      <x:c r="J18" s="12" t="str"/>
      <x:c r="K18" s="12" t="str"/>
      <x:c r="L18" s="12" t="str">
        <x:v>Page retrieved</x:v>
      </x:c>
      <x:c r="M18" s="12" t="str">
        <x:v>https://django-denmark.org/</x:v>
      </x:c>
      <x:c r="N18" s="12" t="str">
        <x:v>https://media.djangoproject.com/cache/af/84/af84c1cd07a15099a8200defe68aca3e.png</x:v>
      </x:c>
      <x:c r="O18" s="12" t="n">
        <x:v>46300.08409722222</x:v>
      </x:c>
      <x:c r="P18" s="12" t="n">
        <x:v>200</x:v>
      </x:c>
      <x:c r="Q18" s="2"/>
    </x:row>
    <x:row r="19" ht="82" customHeight="1">
      <x:c r="A19" s="12" t="str"/>
      <x:c r="B19" s="12" t="str">
        <x:v>ORG-012</x:v>
      </x:c>
      <x:c r="C19" s="12" t="str">
        <x:v>Foxley Talent</x:v>
      </x:c>
      <x:c r="D19" s="12" t="str">
        <x:v>Silver</x:v>
      </x:c>
      <x:c r="E19" s="12" t="str">
        <x:v>foxleytalent.com</x:v>
      </x:c>
      <x:c r="F19" s="12" t="str">
        <x:v>https://www.foxleytalent.com/</x:v>
      </x:c>
      <x:c r="G19" s="12" t="str">
        <x:v>Hire Django Developers &amp; Hire Python Developers</x:v>
      </x:c>
      <x:c r="H19" s="12" t="str">
        <x:v>Foxley Talent the specialist recruiter helping you hire Django developers &amp; hire Python developers with speed, precision and community expertise. Tap into networks and hire people you never thought possible.</x:v>
      </x:c>
      <x:c r="I19" s="12" t="str">
        <x:v>hello@foxleytalent.com</x:v>
      </x:c>
      <x:c r="J19" s="12" t="str">
        <x:v>https://foxleytalent.com/contact/</x:v>
      </x:c>
      <x:c r="K19" s="12" t="str"/>
      <x:c r="L19" s="12" t="str">
        <x:v>Page retrieved</x:v>
      </x:c>
      <x:c r="M19" s="12" t="str">
        <x:v>https://foxleytalent.com/</x:v>
      </x:c>
      <x:c r="N19" s="12" t="str">
        <x:v>https://media.djangoproject.com/cache/93/1a/931a6d2ce175cec120a3be843d05c408.png</x:v>
      </x:c>
      <x:c r="O19" s="12" t="n">
        <x:v>46300.08409722222</x:v>
      </x:c>
      <x:c r="P19" s="12" t="n">
        <x:v>200</x:v>
      </x:c>
      <x:c r="Q19" s="2"/>
    </x:row>
    <x:row r="20" ht="82" customHeight="1">
      <x:c r="A20" s="12" t="str"/>
      <x:c r="B20" s="12" t="str">
        <x:v>ORG-013</x:v>
      </x:c>
      <x:c r="C20" s="12" t="str">
        <x:v>Fusionbox</x:v>
      </x:c>
      <x:c r="D20" s="12" t="str">
        <x:v>Silver</x:v>
      </x:c>
      <x:c r="E20" s="12" t="str">
        <x:v>fusionbox.com</x:v>
      </x:c>
      <x:c r="F20" s="12" t="str">
        <x:v>https://www.fusionbox.com/</x:v>
      </x:c>
      <x:c r="G20" s="12" t="str">
        <x:v>Fusionbox: US-Based Python/Django Consultants</x:v>
      </x:c>
      <x:c r="H20" s="12" t="str">
        <x:v>For more than 20 years, we've been building successful software for clients. Come learn more about our secure Python and Django application development services.</x:v>
      </x:c>
      <x:c r="I20" s="12" t="str">
        <x:v>info@fusionbox.com</x:v>
      </x:c>
      <x:c r="J20" s="12" t="str">
        <x:v>https://www.fusionbox.com/contact/#schedule</x:v>
      </x:c>
      <x:c r="K20" s="12" t="str">
        <x:v>https://www.linkedin.com/company/fusionbox</x:v>
      </x:c>
      <x:c r="L20" s="12" t="str">
        <x:v>Page retrieved</x:v>
      </x:c>
      <x:c r="M20" s="12" t="str">
        <x:v>https://www.fusionbox.com/</x:v>
      </x:c>
      <x:c r="N20" s="12" t="str">
        <x:v>https://media.djangoproject.com/cache/3b/37/3b3713d4526dfcc8930912b9bc434a8a.png</x:v>
      </x:c>
      <x:c r="O20" s="12" t="n">
        <x:v>46300.08409722222</x:v>
      </x:c>
      <x:c r="P20" s="12" t="n">
        <x:v>200</x:v>
      </x:c>
      <x:c r="Q20" s="2"/>
    </x:row>
    <x:row r="21" ht="82" customHeight="1">
      <x:c r="A21" s="12" t="str"/>
      <x:c r="B21" s="12" t="str">
        <x:v>ORG-014</x:v>
      </x:c>
      <x:c r="C21" s="12" t="str">
        <x:v>Healthchecks.io</x:v>
      </x:c>
      <x:c r="D21" s="12" t="str">
        <x:v>Silver</x:v>
      </x:c>
      <x:c r="E21" s="12" t="str">
        <x:v>healthchecks.io</x:v>
      </x:c>
      <x:c r="F21" s="12" t="str">
        <x:v>https://healthchecks.io</x:v>
      </x:c>
      <x:c r="G21" s="12" t="str">
        <x:v>Healthchecks.io: Cron Job Monitoring</x:v>
      </x:c>
      <x:c r="H21" s="12" t="str">
        <x:v>Get instant alerts when your cron jobs, background workers, scheduled tasks don't run on time. Monitor up to 20 cron jobs for free.</x:v>
      </x:c>
      <x:c r="I21" s="12" t="str"/>
      <x:c r="J21" s="12" t="str"/>
      <x:c r="K21" s="12" t="str"/>
      <x:c r="L21" s="12" t="str">
        <x:v>Page retrieved</x:v>
      </x:c>
      <x:c r="M21" s="12" t="str">
        <x:v>https://healthchecks.io</x:v>
      </x:c>
      <x:c r="N21" s="12" t="str">
        <x:v>https://media.djangoproject.com/cache/ed/de/edde66877a4a731dede914e900177732.png</x:v>
      </x:c>
      <x:c r="O21" s="12" t="n">
        <x:v>46300.08409722222</x:v>
      </x:c>
      <x:c r="P21" s="12" t="n">
        <x:v>200</x:v>
      </x:c>
      <x:c r="Q21" s="2"/>
    </x:row>
    <x:row r="22" ht="82" customHeight="1">
      <x:c r="A22" s="12" t="str"/>
      <x:c r="B22" s="12" t="str">
        <x:v>ORG-015</x:v>
      </x:c>
      <x:c r="C22" s="12" t="str">
        <x:v>Iterativ.ch</x:v>
      </x:c>
      <x:c r="D22" s="12" t="str">
        <x:v>Bronze</x:v>
      </x:c>
      <x:c r="E22" s="12" t="str">
        <x:v>iterativ.ch</x:v>
      </x:c>
      <x:c r="F22" s="12" t="str">
        <x:v>https://www.iterativ.ch/</x:v>
      </x:c>
      <x:c r="G22" s="12" t="str">
        <x:v>No Bullshit - Iterativ - Bern</x:v>
      </x:c>
      <x:c r="H22" s="12" t="str">
        <x:v>Wir konzentrieren uns aufs Wesentliche und kommunizieren ehrlich. Lass uns gemeinsam dein digitales Produkt erschaffen.</x:v>
      </x:c>
      <x:c r="I22" s="12" t="str"/>
      <x:c r="J22" s="12" t="str"/>
      <x:c r="K22" s="12" t="str"/>
      <x:c r="L22" s="12" t="str">
        <x:v>Page retrieved</x:v>
      </x:c>
      <x:c r="M22" s="12" t="str">
        <x:v>https://www.iterativ.ch/</x:v>
      </x:c>
      <x:c r="N22" s="12" t="str">
        <x:v>https://media.djangoproject.com/cache/c7/fe/c7fe4c51a8fd68f49c08302d72f15b08.png</x:v>
      </x:c>
      <x:c r="O22" s="12" t="n">
        <x:v>46300.08409722222</x:v>
      </x:c>
      <x:c r="P22" s="12" t="n">
        <x:v>200</x:v>
      </x:c>
      <x:c r="Q22" s="2"/>
    </x:row>
    <x:row r="23" ht="82" customHeight="1">
      <x:c r="A23" s="12" t="str"/>
      <x:c r="B23" s="12" t="str">
        <x:v>ORG-016</x:v>
      </x:c>
      <x:c r="C23" s="12" t="str">
        <x:v>JBS Dev</x:v>
      </x:c>
      <x:c r="D23" s="12" t="str">
        <x:v>Silver</x:v>
      </x:c>
      <x:c r="E23" s="12" t="str">
        <x:v>jbs.dev</x:v>
      </x:c>
      <x:c r="F23" s="12" t="str">
        <x:v>https://www.jbs.dev</x:v>
      </x:c>
      <x:c r="G23" s="12" t="str"/>
      <x:c r="H23" s="12" t="str"/>
      <x:c r="I23" s="12" t="str"/>
      <x:c r="J23" s="12" t="str"/>
      <x:c r="K23" s="12" t="str"/>
      <x:c r="L23" s="12" t="str">
        <x:v>Review required: HTTPError</x:v>
      </x:c>
      <x:c r="M23" s="12" t="str"/>
      <x:c r="N23" s="12" t="str">
        <x:v>https://media.djangoproject.com/cache/89/c6/89c6f53752f540743629afb80cacddbf.jpg</x:v>
      </x:c>
      <x:c r="O23" s="12" t="n">
        <x:v>46300.08409722222</x:v>
      </x:c>
      <x:c r="P23" s="12"/>
      <x:c r="Q23" s="2"/>
    </x:row>
    <x:row r="24" ht="82" customHeight="1">
      <x:c r="A24" s="12" t="str"/>
      <x:c r="B24" s="12" t="str">
        <x:v>ORG-017</x:v>
      </x:c>
      <x:c r="C24" s="12" t="str">
        <x:v>JetBrains</x:v>
      </x:c>
      <x:c r="D24" s="12" t="str">
        <x:v>Platinum</x:v>
      </x:c>
      <x:c r="E24" s="12" t="str">
        <x:v>jetbrains.com</x:v>
      </x:c>
      <x:c r="F24" s="12" t="str">
        <x:v>https://jb.gg/ybja10</x:v>
      </x:c>
      <x:c r="G24" s="12" t="str">
        <x:v>PyCharm: The Django IDE</x:v>
      </x:c>
      <x:c r="H24" s="12" t="str">
        <x:v>Build, test, and deploy Django applications with PyCharm</x:v>
      </x:c>
      <x:c r="I24" s="12" t="str"/>
      <x:c r="J24" s="12" t="str"/>
      <x:c r="K24" s="12" t="str"/>
      <x:c r="L24" s="12" t="str">
        <x:v>Page retrieved</x:v>
      </x:c>
      <x:c r="M24" s="12" t="str">
        <x:v>https://www.jetbrains.com/pycharm/web-development/django/?utm_campaign=pycharm&amp;utm_content=django-fundraiser-24&amp;utm_medium=email&amp;utm_source=dsf-members</x:v>
      </x:c>
      <x:c r="N24" s="12" t="str">
        <x:v>https://media.djangoproject.com/cache/c0/ea/c0ea128467983e64aab91cd27e7918c0.png</x:v>
      </x:c>
      <x:c r="O24" s="12" t="n">
        <x:v>46300.08409722222</x:v>
      </x:c>
      <x:c r="P24" s="12" t="n">
        <x:v>200</x:v>
      </x:c>
      <x:c r="Q24" s="2"/>
    </x:row>
    <x:row r="25" ht="82" customHeight="1">
      <x:c r="A25" s="12" t="str"/>
      <x:c r="B25" s="12" t="str">
        <x:v>ORG-018</x:v>
      </x:c>
      <x:c r="C25" s="12" t="str">
        <x:v>Jonas und der Wolf</x:v>
      </x:c>
      <x:c r="D25" s="12" t="str">
        <x:v>Silver</x:v>
      </x:c>
      <x:c r="E25" s="12" t="str">
        <x:v>jonasundderwolf.de</x:v>
      </x:c>
      <x:c r="F25" s="12" t="str">
        <x:v>https://www.jonasundderwolf.de</x:v>
      </x:c>
      <x:c r="G25" s="12" t="str">
        <x:v>Jonas und der Wolf</x:v>
      </x:c>
      <x:c r="H25" s="12" t="str">
        <x:v>Sie bauen die Infrastruktur der Zukunft – wir die passende Lösung für Ihr digitales Ökosystem.</x:v>
      </x:c>
      <x:c r="I25" s="12" t="str"/>
      <x:c r="J25" s="12" t="str"/>
      <x:c r="K25" s="12" t="str">
        <x:v>https://www.linkedin.com/company/jonas-und-der-wolf/</x:v>
      </x:c>
      <x:c r="L25" s="12" t="str">
        <x:v>Page retrieved</x:v>
      </x:c>
      <x:c r="M25" s="12" t="str">
        <x:v>https://www.jonasundderwolf.de</x:v>
      </x:c>
      <x:c r="N25" s="12" t="str">
        <x:v>https://media.djangoproject.com/cache/e1/8b/e18b0d80235a34b705ff3e073b3d591d.png</x:v>
      </x:c>
      <x:c r="O25" s="12" t="n">
        <x:v>46300.08409722222</x:v>
      </x:c>
      <x:c r="P25" s="12" t="n">
        <x:v>200</x:v>
      </x:c>
      <x:c r="Q25" s="2"/>
    </x:row>
    <x:row r="26" ht="82" customHeight="1">
      <x:c r="A26" s="12" t="str"/>
      <x:c r="B26" s="12" t="str">
        <x:v>ORG-019</x:v>
      </x:c>
      <x:c r="C26" s="12" t="str">
        <x:v>Kraken Tech</x:v>
      </x:c>
      <x:c r="D26" s="12" t="str">
        <x:v>Platinum</x:v>
      </x:c>
      <x:c r="E26" s="12" t="str">
        <x:v>kraken.tech</x:v>
      </x:c>
      <x:c r="F26" s="12" t="str">
        <x:v>https://kraken.tech</x:v>
      </x:c>
      <x:c r="G26" s="12" t="str">
        <x:v>Kraken: The most loved operating system for energy | Kraken</x:v>
      </x:c>
      <x:c r="H26" s="12" t="str">
        <x:v>Kraken is the tech platform delivering innovation for utilities worldwide. Powered by a single-data model and Utility-Grade AI, we help energy businesses thrive. Trusted globally to manage over 90 million customer accounts, we empower your teams to deliver outstanding customer experiences.</x:v>
      </x:c>
      <x:c r="I26" s="12" t="str"/>
      <x:c r="J26" s="12" t="str"/>
      <x:c r="K26" s="12" t="str">
        <x:v>https://www.linkedin.com/company/krakentech/</x:v>
      </x:c>
      <x:c r="L26" s="12" t="str">
        <x:v>Page retrieved</x:v>
      </x:c>
      <x:c r="M26" s="12" t="str">
        <x:v>https://www.kraken.tech/</x:v>
      </x:c>
      <x:c r="N26" s="12" t="str">
        <x:v>https://media.djangoproject.com/cache/71/4b/714b3473ed0cf3665f6b894d3be9491e.png</x:v>
      </x:c>
      <x:c r="O26" s="12" t="n">
        <x:v>46300.08409722222</x:v>
      </x:c>
      <x:c r="P26" s="12" t="n">
        <x:v>200</x:v>
      </x:c>
      <x:c r="Q26" s="2"/>
    </x:row>
    <x:row r="27" ht="82" customHeight="1">
      <x:c r="A27" s="12" t="str"/>
      <x:c r="B27" s="12" t="str">
        <x:v>ORG-020</x:v>
      </x:c>
      <x:c r="C27" s="12" t="str">
        <x:v>KUWAITNET General Trading and Contracting Company</x:v>
      </x:c>
      <x:c r="D27" s="12" t="str">
        <x:v>Silver</x:v>
      </x:c>
      <x:c r="E27" s="12" t="str">
        <x:v>kuwaitnet.com</x:v>
      </x:c>
      <x:c r="F27" s="12" t="str">
        <x:v>https://kuwaitnet.com/en/</x:v>
      </x:c>
      <x:c r="G27" s="12" t="str"/>
      <x:c r="H27" s="12" t="str"/>
      <x:c r="I27" s="12" t="str"/>
      <x:c r="J27" s="12" t="str"/>
      <x:c r="K27" s="12" t="str"/>
      <x:c r="L27" s="12" t="str">
        <x:v>Review required: HTTPError</x:v>
      </x:c>
      <x:c r="M27" s="12" t="str"/>
      <x:c r="N27" s="12" t="str">
        <x:v>https://media.djangoproject.com/cache/6c/3f/6c3f87c97be7ff16d32f6f6437ca58eb.png</x:v>
      </x:c>
      <x:c r="O27" s="12" t="n">
        <x:v>46300.08409722222</x:v>
      </x:c>
      <x:c r="P27" s="12"/>
      <x:c r="Q27" s="2"/>
    </x:row>
    <x:row r="28" ht="82" customHeight="1">
      <x:c r="A28" s="12" t="str"/>
      <x:c r="B28" s="12" t="str">
        <x:v>ORG-021</x:v>
      </x:c>
      <x:c r="C28" s="12" t="str">
        <x:v>Lincoln Loop</x:v>
      </x:c>
      <x:c r="D28" s="12" t="str">
        <x:v>Silver</x:v>
      </x:c>
      <x:c r="E28" s="12" t="str">
        <x:v>lincolnloop.com</x:v>
      </x:c>
      <x:c r="F28" s="12" t="str">
        <x:v>https://lincolnloop.com/</x:v>
      </x:c>
      <x:c r="G28" s="12" t="str">
        <x:v>Perfect-fit software. Designed for ambition. Built to last. | Lincoln Loop</x:v>
      </x:c>
      <x:c r="H28" s="12" t="str">
        <x:v>Perfect-fit software. Designed for ambition. Built to last.</x:v>
      </x:c>
      <x:c r="I28" s="12" t="str"/>
      <x:c r="J28" s="12" t="str">
        <x:v>https://lincolnloop.com/contact/</x:v>
      </x:c>
      <x:c r="K28" s="12" t="str">
        <x:v>https://www.linkedin.com/company/lincoln-loop/</x:v>
      </x:c>
      <x:c r="L28" s="12" t="str">
        <x:v>Page retrieved</x:v>
      </x:c>
      <x:c r="M28" s="12" t="str">
        <x:v>https://lincolnloop.com/</x:v>
      </x:c>
      <x:c r="N28" s="12" t="str">
        <x:v>https://media.djangoproject.com/cache/25/e3/25e3aedee28ab8005caa575ba761d2a7.png</x:v>
      </x:c>
      <x:c r="O28" s="12" t="n">
        <x:v>46300.08409722222</x:v>
      </x:c>
      <x:c r="P28" s="12" t="n">
        <x:v>200</x:v>
      </x:c>
      <x:c r="Q28" s="2"/>
    </x:row>
    <x:row r="29" ht="82" customHeight="1">
      <x:c r="A29" s="12" t="str"/>
      <x:c r="B29" s="12" t="str">
        <x:v>ORG-022</x:v>
      </x:c>
      <x:c r="C29" s="12" t="str">
        <x:v>Maykin</x:v>
      </x:c>
      <x:c r="D29" s="12" t="str">
        <x:v>Bronze</x:v>
      </x:c>
      <x:c r="E29" s="12" t="str">
        <x:v>maykin.nl</x:v>
      </x:c>
      <x:c r="F29" s="12" t="str">
        <x:v>https://www.maykinmedia.nl</x:v>
      </x:c>
      <x:c r="G29" s="12" t="str">
        <x:v>Home | Maykin</x:v>
      </x:c>
      <x:c r="H29" s="12" t="str">
        <x:v>Maykin ontwikkelt open source software voor de overheid en maatwerk software voor bedrijven.</x:v>
      </x:c>
      <x:c r="I29" s="12" t="str">
        <x:v>info@maykinmedia.nl</x:v>
      </x:c>
      <x:c r="J29" s="12" t="str">
        <x:v>https://maykin.nl/nl/contact/</x:v>
      </x:c>
      <x:c r="K29" s="12" t="str">
        <x:v>https://www.linkedin.com/company/maykin-media</x:v>
      </x:c>
      <x:c r="L29" s="12" t="str">
        <x:v>Page retrieved</x:v>
      </x:c>
      <x:c r="M29" s="12" t="str">
        <x:v>https://maykin.nl/nl/</x:v>
      </x:c>
      <x:c r="N29" s="12" t="str">
        <x:v>https://media.djangoproject.com/cache/c2/07/c207eb8aa0d641c302f86c74725449f9.png</x:v>
      </x:c>
      <x:c r="O29" s="12" t="n">
        <x:v>46300.08409722222</x:v>
      </x:c>
      <x:c r="P29" s="12" t="n">
        <x:v>200</x:v>
      </x:c>
      <x:c r="Q29" s="2"/>
    </x:row>
    <x:row r="30" ht="82" customHeight="1">
      <x:c r="A30" s="12" t="str"/>
      <x:c r="B30" s="12" t="str">
        <x:v>ORG-023</x:v>
      </x:c>
      <x:c r="C30" s="12" t="str">
        <x:v>Monit</x:v>
      </x:c>
      <x:c r="D30" s="12" t="str">
        <x:v>Bronze</x:v>
      </x:c>
      <x:c r="E30" s="12" t="str">
        <x:v>monitdata.com</x:v>
      </x:c>
      <x:c r="F30" s="12" t="str">
        <x:v>https://monitdata.com</x:v>
      </x:c>
      <x:c r="G30" s="12" t="str">
        <x:v>Home - Monit</x:v>
      </x:c>
      <x:c r="H30" s="12" t="str">
        <x:v>Marktleider met meer dan 10 jaar ervaring. Optimaliseer je mobiliteits beleid en beheer met Monit Data. - ‘Unlock your parking data'</x:v>
      </x:c>
      <x:c r="I30" s="12" t="str">
        <x:v>info@monitdata.com</x:v>
      </x:c>
      <x:c r="J30" s="12" t="str"/>
      <x:c r="K30" s="12" t="str">
        <x:v>https://www.linkedin.com/company/monitdata</x:v>
      </x:c>
      <x:c r="L30" s="12" t="str">
        <x:v>Page retrieved</x:v>
      </x:c>
      <x:c r="M30" s="12" t="str">
        <x:v>https://monitdata.com</x:v>
      </x:c>
      <x:c r="N30" s="12" t="str">
        <x:v>https://media.djangoproject.com/cache/a1/40/a1400c8c78f7f43e3936a1f59235cbca.png</x:v>
      </x:c>
      <x:c r="O30" s="12" t="n">
        <x:v>46300.08409722222</x:v>
      </x:c>
      <x:c r="P30" s="12" t="n">
        <x:v>200</x:v>
      </x:c>
      <x:c r="Q30" s="2"/>
    </x:row>
    <x:row r="31" ht="82" customHeight="1">
      <x:c r="A31" s="12" t="str"/>
      <x:c r="B31" s="12" t="str">
        <x:v>ORG-024</x:v>
      </x:c>
      <x:c r="C31" s="12" t="str">
        <x:v>Nephila</x:v>
      </x:c>
      <x:c r="D31" s="12" t="str">
        <x:v>Bronze</x:v>
      </x:c>
      <x:c r="E31" s="12" t="str">
        <x:v>nephila.digital</x:v>
      </x:c>
      <x:c r="F31" s="12" t="str">
        <x:v>https://nephila.digital</x:v>
      </x:c>
      <x:c r="G31" s="12" t="str">
        <x:v>Sviluppo web con Django e Python - Nephila Digital Development</x:v>
      </x:c>
      <x:c r="H31" s="12" t="str">
        <x:v>Siamo un'azienda di sviluppo web con più di 10 anni di expertise in Python e Django. Realizziamo prodotti di alta qualità tramite la metodologia agile.</x:v>
      </x:c>
      <x:c r="I31" s="12" t="str">
        <x:v>info@nephila.digital</x:v>
      </x:c>
      <x:c r="J31" s="12" t="str"/>
      <x:c r="K31" s="12" t="str">
        <x:v>https://www.linkedin.com/company/nephila</x:v>
      </x:c>
      <x:c r="L31" s="12" t="str">
        <x:v>Page retrieved</x:v>
      </x:c>
      <x:c r="M31" s="12" t="str">
        <x:v>https://www.nephila.digital/it/</x:v>
      </x:c>
      <x:c r="N31" s="12" t="str">
        <x:v>https://media.djangoproject.com/cache/99/06/990631b0deded593c6c686751266e1d6.png</x:v>
      </x:c>
      <x:c r="O31" s="12" t="n">
        <x:v>46300.08409722222</x:v>
      </x:c>
      <x:c r="P31" s="12" t="n">
        <x:v>200</x:v>
      </x:c>
      <x:c r="Q31" s="2"/>
    </x:row>
    <x:row r="32" ht="82" customHeight="1">
      <x:c r="A32" s="12" t="str"/>
      <x:c r="B32" s="12" t="str">
        <x:v>ORG-025</x:v>
      </x:c>
      <x:c r="C32" s="12" t="str">
        <x:v>ohne-makler</x:v>
      </x:c>
      <x:c r="D32" s="12" t="str">
        <x:v>Gold</x:v>
      </x:c>
      <x:c r="E32" s="12" t="str">
        <x:v>ohne-makler.net</x:v>
      </x:c>
      <x:c r="F32" s="12" t="str">
        <x:v>https://www.ohne-makler.net</x:v>
      </x:c>
      <x:c r="G32" s="12" t="str">
        <x:v>ohne-makler | Immobilien verkaufen und vermieten ohne Makler</x:v>
      </x:c>
      <x:c r="H32" s="12" t="str">
        <x:v>Nur ein Mal inserieren, wir veröffentlichen Ihr Angebot automatisch mit allen Daten, Texten und Bildern auf den großen Portalen: ImmoScout24, immowelt, Kleinanzeigen uvm.</x:v>
      </x:c>
      <x:c r="I32" s="12" t="str"/>
      <x:c r="J32" s="12" t="str"/>
      <x:c r="K32" s="12" t="str"/>
      <x:c r="L32" s="12" t="str">
        <x:v>Page retrieved</x:v>
      </x:c>
      <x:c r="M32" s="12" t="str">
        <x:v>https://www.ohne-makler.net</x:v>
      </x:c>
      <x:c r="N32" s="12" t="str">
        <x:v>https://media.djangoproject.com/cache/00/84/00841ce334a02ab851766b6d65107bcc.png</x:v>
      </x:c>
      <x:c r="O32" s="12" t="n">
        <x:v>46300.08409722222</x:v>
      </x:c>
      <x:c r="P32" s="12" t="n">
        <x:v>200</x:v>
      </x:c>
      <x:c r="Q32" s="2"/>
    </x:row>
    <x:row r="33" ht="82" customHeight="1">
      <x:c r="A33" s="12" t="str"/>
      <x:c r="B33" s="12" t="str">
        <x:v>ORG-026</x:v>
      </x:c>
      <x:c r="C33" s="12" t="str">
        <x:v>Personalkollen</x:v>
      </x:c>
      <x:c r="D33" s="12" t="str">
        <x:v>Bronze</x:v>
      </x:c>
      <x:c r="E33" s="12" t="str">
        <x:v>personalkollen.se</x:v>
      </x:c>
      <x:c r="F33" s="12" t="str">
        <x:v>https://personalkollen.se/</x:v>
      </x:c>
      <x:c r="G33" s="12" t="str">
        <x:v>Schema, tid och lön. I en och samma plattform.</x:v>
      </x:c>
      <x:c r="H33" s="12" t="str"/>
      <x:c r="I33" s="12" t="str">
        <x:v>support@personalkollen.se</x:v>
      </x:c>
      <x:c r="J33" s="12" t="str"/>
      <x:c r="K33" s="12" t="str">
        <x:v>https://www.linkedin.com/company/80410730/</x:v>
      </x:c>
      <x:c r="L33" s="12" t="str">
        <x:v>Page retrieved</x:v>
      </x:c>
      <x:c r="M33" s="12" t="str">
        <x:v>https://personalkollen.se/start/</x:v>
      </x:c>
      <x:c r="N33" s="12" t="str">
        <x:v>https://media.djangoproject.com/cache/d4/44/d444ea5d57f93b78117067986f83a67d.png</x:v>
      </x:c>
      <x:c r="O33" s="12" t="n">
        <x:v>46300.08409722222</x:v>
      </x:c>
      <x:c r="P33" s="12" t="n">
        <x:v>200</x:v>
      </x:c>
      <x:c r="Q33" s="2"/>
    </x:row>
    <x:row r="34" ht="82" customHeight="1">
      <x:c r="A34" s="12" t="str"/>
      <x:c r="B34" s="12" t="str">
        <x:v>ORG-027</x:v>
      </x:c>
      <x:c r="C34" s="12" t="str">
        <x:v>PostHog</x:v>
      </x:c>
      <x:c r="D34" s="12" t="str">
        <x:v>Platinum</x:v>
      </x:c>
      <x:c r="E34" s="12" t="str">
        <x:v>posthog.com</x:v>
      </x:c>
      <x:c r="F34" s="12" t="str">
        <x:v>https://posthog.com</x:v>
      </x:c>
      <x:c r="G34" s="12" t="str">
        <x:v>PostHog - your product’s context layer</x:v>
      </x:c>
      <x:c r="H34" s="12" t="str">
        <x:v>PostHog automatically diagnoses problems, fixes bugs, and generates pull requests – all without you having to prompt it.</x:v>
      </x:c>
      <x:c r="I34" s="12" t="str"/>
      <x:c r="J34" s="12" t="str"/>
      <x:c r="K34" s="12" t="str"/>
      <x:c r="L34" s="12" t="str">
        <x:v>Page retrieved</x:v>
      </x:c>
      <x:c r="M34" s="12" t="str">
        <x:v>https://posthog.com</x:v>
      </x:c>
      <x:c r="N34" s="12" t="str">
        <x:v>https://media.djangoproject.com/cache/c7/e4/c7e40c86262b3d455526e8f94a899303.png</x:v>
      </x:c>
      <x:c r="O34" s="12" t="n">
        <x:v>46300.08409722222</x:v>
      </x:c>
      <x:c r="P34" s="12" t="n">
        <x:v>200</x:v>
      </x:c>
      <x:c r="Q34" s="2"/>
    </x:row>
    <x:row r="35" ht="82" customHeight="1">
      <x:c r="A35" s="12" t="str"/>
      <x:c r="B35" s="12" t="str">
        <x:v>ORG-028</x:v>
      </x:c>
      <x:c r="C35" s="12" t="str">
        <x:v>pretix</x:v>
      </x:c>
      <x:c r="D35" s="12" t="str">
        <x:v>Silver</x:v>
      </x:c>
      <x:c r="E35" s="12" t="str">
        <x:v>pretix.eu</x:v>
      </x:c>
      <x:c r="F35" s="12" t="str">
        <x:v>https://pretix.eu</x:v>
      </x:c>
      <x:c r="G35" s="12" t="str">
        <x:v>pretix – Reinventing ticket sales for conferences, exhibitions, museums, ...</x:v>
      </x:c>
      <x:c r="H35" s="12" t="str">
        <x:v>pretix helps you to sell tickets for your event in an easy way. It supports multi-lingual events and provides a wide range of features</x:v>
      </x:c>
      <x:c r="I35" s="12" t="str">
        <x:v>support@pretix.eu</x:v>
      </x:c>
      <x:c r="J35" s="12" t="str"/>
      <x:c r="K35" s="12" t="str">
        <x:v>https://www.linkedin.com/company/pretix/</x:v>
      </x:c>
      <x:c r="L35" s="12" t="str">
        <x:v>Page retrieved</x:v>
      </x:c>
      <x:c r="M35" s="12" t="str">
        <x:v>https://pretix.eu/about/en/</x:v>
      </x:c>
      <x:c r="N35" s="12" t="str">
        <x:v>https://media.djangoproject.com/cache/b5/c7/b5c70cf2f2b600e8ab6ba363a3b99914.png</x:v>
      </x:c>
      <x:c r="O35" s="12" t="n">
        <x:v>46300.08409722222</x:v>
      </x:c>
      <x:c r="P35" s="12" t="n">
        <x:v>200</x:v>
      </x:c>
      <x:c r="Q35" s="2"/>
    </x:row>
    <x:row r="36" ht="82" customHeight="1">
      <x:c r="A36" s="12" t="str"/>
      <x:c r="B36" s="12" t="str">
        <x:v>ORG-029</x:v>
      </x:c>
      <x:c r="C36" s="12" t="str">
        <x:v>REVSYS</x:v>
      </x:c>
      <x:c r="D36" s="12" t="str">
        <x:v>Silver</x:v>
      </x:c>
      <x:c r="E36" s="12" t="str">
        <x:v>revsys.com</x:v>
      </x:c>
      <x:c r="F36" s="12" t="str">
        <x:v>https://www.revsys.com?utm_source=djangoproject</x:v>
      </x:c>
      <x:c r="G36" s="12" t="str">
        <x:v>REVSYS</x:v>
      </x:c>
      <x:c r="H36" s="12" t="str">
        <x:v>REVSYS is a leader in Open Source consulting and support. Specializing in infrastructure scaling, development, and AI using Django, Python, and PostgreSQL.</x:v>
      </x:c>
      <x:c r="I36" s="12" t="str">
        <x:v>sales@revsys.com</x:v>
      </x:c>
      <x:c r="J36" s="12" t="str">
        <x:v>https://www.revsys.com/contact/</x:v>
      </x:c>
      <x:c r="K36" s="12" t="str">
        <x:v>https://www.linkedin.com/company/revolution-systems/</x:v>
      </x:c>
      <x:c r="L36" s="12" t="str">
        <x:v>Page retrieved</x:v>
      </x:c>
      <x:c r="M36" s="12" t="str">
        <x:v>https://www.revsys.com?utm_source=djangoproject</x:v>
      </x:c>
      <x:c r="N36" s="12" t="str">
        <x:v>https://media.djangoproject.com/cache/81/e7/81e73ebc7636778a710ba3febc718558.png</x:v>
      </x:c>
      <x:c r="O36" s="12" t="n">
        <x:v>46300.08409722222</x:v>
      </x:c>
      <x:c r="P36" s="12" t="n">
        <x:v>200</x:v>
      </x:c>
      <x:c r="Q36" s="2"/>
    </x:row>
    <x:row r="37" ht="82" customHeight="1">
      <x:c r="A37" s="12" t="str"/>
      <x:c r="B37" s="12" t="str">
        <x:v>ORG-030</x:v>
      </x:c>
      <x:c r="C37" s="12" t="str">
        <x:v>Sentry</x:v>
      </x:c>
      <x:c r="D37" s="12" t="str">
        <x:v>Platinum</x:v>
      </x:c>
      <x:c r="E37" s="12" t="str">
        <x:v>sentry.io</x:v>
      </x:c>
      <x:c r="F37" s="12" t="str">
        <x:v>https://sentry.io/for/django/</x:v>
      </x:c>
      <x:c r="G37" s="12" t="str">
        <x:v>Django Error Monitoring &amp; Performance Monitoring | Sentry</x:v>
      </x:c>
      <x:c r="H37" s="12" t="str">
        <x:v>Trace slow middleware, signals, and database queries, then resolve exceptions with local variables still in the stack. Supports Django 1.8 and above.</x:v>
      </x:c>
      <x:c r="I37" s="12" t="str"/>
      <x:c r="J37" s="12" t="str">
        <x:v>https://sentry.io/contact/enterprise/</x:v>
      </x:c>
      <x:c r="K37" s="12" t="str">
        <x:v>https://www.linkedin.com/company/getsentry/</x:v>
      </x:c>
      <x:c r="L37" s="12" t="str">
        <x:v>Page retrieved</x:v>
      </x:c>
      <x:c r="M37" s="12" t="str">
        <x:v>https://sentry.io/for/django/</x:v>
      </x:c>
      <x:c r="N37" s="12" t="str">
        <x:v>https://media.djangoproject.com/cache/7a/f9/7af9c770dc49465739a82c91a0eb3d51.png</x:v>
      </x:c>
      <x:c r="O37" s="12" t="n">
        <x:v>46300.08409722222</x:v>
      </x:c>
      <x:c r="P37" s="12" t="n">
        <x:v>200</x:v>
      </x:c>
      <x:c r="Q37" s="2"/>
    </x:row>
    <x:row r="38" ht="82" customHeight="1">
      <x:c r="A38" s="12" t="str"/>
      <x:c r="B38" s="12" t="str">
        <x:v>ORG-031</x:v>
      </x:c>
      <x:c r="C38" s="12" t="str">
        <x:v>SerpApi</x:v>
      </x:c>
      <x:c r="D38" s="12" t="str">
        <x:v>Gold</x:v>
      </x:c>
      <x:c r="E38" s="12" t="str">
        <x:v>serpapi.com</x:v>
      </x:c>
      <x:c r="F38" s="12" t="str">
        <x:v>https://serpapi.com</x:v>
      </x:c>
      <x:c r="G38" s="12" t="str">
        <x:v>SerpApi: Google Search API</x:v>
      </x:c>
      <x:c r="H38" s="12" t="str">
        <x:v>SerpApi is a real-time API to access Google search results. We handle proxies, solve captchas, and parse all rich structured data for you.</x:v>
      </x:c>
      <x:c r="I38" s="12" t="str">
        <x:v>contact@serpapi.com</x:v>
      </x:c>
      <x:c r="J38" s="12" t="str"/>
      <x:c r="K38" s="12" t="str">
        <x:v>https://www.linkedin.com/company/serpapi/</x:v>
      </x:c>
      <x:c r="L38" s="12" t="str">
        <x:v>Page retrieved</x:v>
      </x:c>
      <x:c r="M38" s="12" t="str">
        <x:v>https://serpapi.com</x:v>
      </x:c>
      <x:c r="N38" s="12" t="str">
        <x:v>https://media.djangoproject.com/cache/48/04/48040d049f8f6e4fd6fd6e9be070580e.png</x:v>
      </x:c>
      <x:c r="O38" s="12" t="n">
        <x:v>46300.08409722222</x:v>
      </x:c>
      <x:c r="P38" s="12" t="n">
        <x:v>200</x:v>
      </x:c>
      <x:c r="Q38" s="2"/>
    </x:row>
    <x:row r="39" ht="82" customHeight="1">
      <x:c r="A39" s="12" t="str"/>
      <x:c r="B39" s="12" t="str">
        <x:v>ORG-032</x:v>
      </x:c>
      <x:c r="C39" s="12" t="str">
        <x:v>Six Feet Up</x:v>
      </x:c>
      <x:c r="D39" s="12" t="str">
        <x:v>Gold</x:v>
      </x:c>
      <x:c r="E39" s="12" t="str">
        <x:v>sixfeetup.com</x:v>
      </x:c>
      <x:c r="F39" s="12" t="str">
        <x:v>https://sixfeetup.com</x:v>
      </x:c>
      <x:c r="G39" s="12" t="str">
        <x:v>Python and AI for Good, Custom Software Development</x:v>
      </x:c>
      <x:c r="H39" s="12" t="str">
        <x:v>Six Feet Up accelerates IMPACTFUL Projects™ by crafting superior and lasting software solutions, specializing in App Development, AI and Big Data.</x:v>
      </x:c>
      <x:c r="I39" s="12" t="str">
        <x:v>info@sixfeetup.com</x:v>
      </x:c>
      <x:c r="J39" s="12" t="str">
        <x:v>https://sixfeetup.com/contact-us</x:v>
      </x:c>
      <x:c r="K39" s="12" t="str">
        <x:v>https://www.linkedin.com/company/sixfeetup</x:v>
      </x:c>
      <x:c r="L39" s="12" t="str">
        <x:v>Page retrieved</x:v>
      </x:c>
      <x:c r="M39" s="12" t="str">
        <x:v>https://sixfeetup.com</x:v>
      </x:c>
      <x:c r="N39" s="12" t="str">
        <x:v>https://media.djangoproject.com/cache/42/8f/428f77b37877b0a4e6eb6fed896a6498.jpg</x:v>
      </x:c>
      <x:c r="O39" s="12" t="n">
        <x:v>46300.08409722222</x:v>
      </x:c>
      <x:c r="P39" s="12" t="n">
        <x:v>200</x:v>
      </x:c>
      <x:c r="Q39" s="2"/>
    </x:row>
    <x:row r="40" ht="82" customHeight="1">
      <x:c r="A40" s="12" t="str"/>
      <x:c r="B40" s="12" t="str">
        <x:v>ORG-033</x:v>
      </x:c>
      <x:c r="C40" s="12" t="str">
        <x:v>Software-Design</x:v>
      </x:c>
      <x:c r="D40" s="12" t="str">
        <x:v>Bronze</x:v>
      </x:c>
      <x:c r="E40" s="12" t="str">
        <x:v>software-design.de</x:v>
      </x:c>
      <x:c r="F40" s="12" t="str">
        <x:v>https://software-design.de</x:v>
      </x:c>
      <x:c r="G40" s="12" t="str">
        <x:v>Individuelle Software, Programmierung &amp; Apps | Software-Design</x:v>
      </x:c>
      <x:c r="H40" s="12" t="str">
        <x:v>Die SD Software-Design GmbH ist ein IT-Unternehmen für die Entwicklung und Programmierung individueller Software, Apps, Schnittstellen und Webplattformen aus Freiburg</x:v>
      </x:c>
      <x:c r="I40" s="12" t="str">
        <x:v>info@software-design.de</x:v>
      </x:c>
      <x:c r="J40" s="12" t="str"/>
      <x:c r="K40" s="12" t="str">
        <x:v>https://de.linkedin.com/company/sd-software-design-gmbh</x:v>
      </x:c>
      <x:c r="L40" s="12" t="str">
        <x:v>Page retrieved</x:v>
      </x:c>
      <x:c r="M40" s="12" t="str">
        <x:v>https://software-design.de</x:v>
      </x:c>
      <x:c r="N40" s="12" t="str">
        <x:v>https://media.djangoproject.com/cache/f4/fa/f4facaebffc553146f70aff2f6ca6050.jpg</x:v>
      </x:c>
      <x:c r="O40" s="12" t="n">
        <x:v>46300.08409722222</x:v>
      </x:c>
      <x:c r="P40" s="12" t="n">
        <x:v>200</x:v>
      </x:c>
      <x:c r="Q40" s="2"/>
    </x:row>
    <x:row r="41" ht="82" customHeight="1">
      <x:c r="A41" s="12" t="str"/>
      <x:c r="B41" s="12" t="str">
        <x:v>ORG-034</x:v>
      </x:c>
      <x:c r="C41" s="12" t="str">
        <x:v>Switchboard</x:v>
      </x:c>
      <x:c r="D41" s="12" t="str">
        <x:v>Silver</x:v>
      </x:c>
      <x:c r="E41" s="12" t="str">
        <x:v>oneswitchboard.com</x:v>
      </x:c>
      <x:c r="F41" s="12" t="str">
        <x:v>https://oneswitchboard.com/</x:v>
      </x:c>
      <x:c r="G41" s="12" t="str"/>
      <x:c r="H41" s="12" t="str"/>
      <x:c r="I41" s="12" t="str"/>
      <x:c r="J41" s="12" t="str"/>
      <x:c r="K41" s="12" t="str"/>
      <x:c r="L41" s="12" t="str">
        <x:v>Review required: no title</x:v>
      </x:c>
      <x:c r="M41" s="12" t="str">
        <x:v>https://oneswitchboard.com/</x:v>
      </x:c>
      <x:c r="N41" s="12" t="str">
        <x:v>https://media.djangoproject.com/cache/ba/72/ba721c6c6db361929563b0ef1e907549.png</x:v>
      </x:c>
      <x:c r="O41" s="12" t="n">
        <x:v>46300.08409722222</x:v>
      </x:c>
      <x:c r="P41" s="12" t="n">
        <x:v>200</x:v>
      </x:c>
      <x:c r="Q41" s="2"/>
    </x:row>
    <x:row r="42" ht="82" customHeight="1">
      <x:c r="A42" s="12" t="str"/>
      <x:c r="B42" s="12" t="str">
        <x:v>ORG-035</x:v>
      </x:c>
      <x:c r="C42" s="12" t="str">
        <x:v>Team Blueshoe</x:v>
      </x:c>
      <x:c r="D42" s="12" t="str">
        <x:v>Bronze</x:v>
      </x:c>
      <x:c r="E42" s="12" t="str">
        <x:v>blueshoe.io</x:v>
      </x:c>
      <x:c r="F42" s="12" t="str">
        <x:v>https://www.blueshoe.io/</x:v>
      </x:c>
      <x:c r="G42" s="12" t="str">
        <x:v>Cloud Native Consulting and Application Development | BLUESHOE</x:v>
      </x:c>
      <x:c r="H42" s="12" t="str">
        <x:v>Experts for Cloud Native architectures and application development. We help you on the path to become a fully cloud native company.</x:v>
      </x:c>
      <x:c r="I42" s="12" t="str">
        <x:v>hello@blueshoe.io</x:v>
      </x:c>
      <x:c r="J42" s="12" t="str">
        <x:v>https://www.blueshoe.io/contact/</x:v>
      </x:c>
      <x:c r="K42" s="12" t="str">
        <x:v>https://www.linkedin.com/company/blueshoe/</x:v>
      </x:c>
      <x:c r="L42" s="12" t="str">
        <x:v>Page retrieved</x:v>
      </x:c>
      <x:c r="M42" s="12" t="str">
        <x:v>https://www.blueshoe.io/</x:v>
      </x:c>
      <x:c r="N42" s="12" t="str">
        <x:v>https://media.djangoproject.com/cache/61/9e/619ec67e6fac934f46a2dc6bbb1229c9.webp</x:v>
      </x:c>
      <x:c r="O42" s="12" t="n">
        <x:v>46300.08409722222</x:v>
      </x:c>
      <x:c r="P42" s="12" t="n">
        <x:v>200</x:v>
      </x:c>
      <x:c r="Q42" s="2"/>
    </x:row>
    <x:row r="43" ht="82" customHeight="1">
      <x:c r="A43" s="12" t="str"/>
      <x:c r="B43" s="12" t="str">
        <x:v>ORG-036</x:v>
      </x:c>
      <x:c r="C43" s="12" t="str">
        <x:v>Torchbox</x:v>
      </x:c>
      <x:c r="D43" s="12" t="str">
        <x:v>Bronze</x:v>
      </x:c>
      <x:c r="E43" s="12" t="str">
        <x:v>torchbox.com</x:v>
      </x:c>
      <x:c r="F43" s="12" t="str">
        <x:v>https://torchbox.com/</x:v>
      </x:c>
      <x:c r="G43" s="12" t="str">
        <x:v>Torchbox | Digital Agency for Charities and Nonprofits</x:v>
      </x:c>
      <x:c r="H43" s="12" t="str">
        <x:v>Torchbox is the agency partner for socially progressive organisations with ambitious digital ideas. Services include UX Design, Website Development, Custom Web Apps, PPC &amp; SEO, Google Analytics, Wagtail Development and Social Media Marketing.</x:v>
      </x:c>
      <x:c r="I43" s="12" t="str"/>
      <x:c r="J43" s="12" t="str"/>
      <x:c r="K43" s="12" t="str">
        <x:v>https://www.linkedin.com/company/torchbox</x:v>
      </x:c>
      <x:c r="L43" s="12" t="str">
        <x:v>Page retrieved</x:v>
      </x:c>
      <x:c r="M43" s="12" t="str">
        <x:v>https://torchbox.com/</x:v>
      </x:c>
      <x:c r="N43" s="12" t="str">
        <x:v>https://media.djangoproject.com/cache/5e/57/5e571aa66823ae7b253bb1c91e5017a0.jpg</x:v>
      </x:c>
      <x:c r="O43" s="12" t="n">
        <x:v>46300.08409722222</x:v>
      </x:c>
      <x:c r="P43" s="12" t="n">
        <x:v>200</x:v>
      </x:c>
      <x:c r="Q43" s="2"/>
    </x:row>
    <x:row r="44" ht="82" customHeight="1">
      <x:c r="A44" s="12" t="str"/>
      <x:c r="B44" s="12" t="str">
        <x:v>ORG-037</x:v>
      </x:c>
      <x:c r="C44" s="12" t="str">
        <x:v>Two Rock Software</x:v>
      </x:c>
      <x:c r="D44" s="12" t="str">
        <x:v>Bronze</x:v>
      </x:c>
      <x:c r="E44" s="12" t="str">
        <x:v>tworock.io</x:v>
      </x:c>
      <x:c r="F44" s="12" t="str">
        <x:v>https://tworock.io</x:v>
      </x:c>
      <x:c r="G44" s="12" t="str">
        <x:v>Two Rock Software - Django Developers in North Carolina</x:v>
      </x:c>
      <x:c r="H44" s="12" t="str">
        <x:v>We develop custom software to help humans solve real problems in their businesses and in the world. Emphasis on Django and Python.</x:v>
      </x:c>
      <x:c r="I44" s="12" t="str"/>
      <x:c r="J44" s="12" t="str">
        <x:v>https://tworock.io/contact/</x:v>
      </x:c>
      <x:c r="K44" s="12" t="str"/>
      <x:c r="L44" s="12" t="str">
        <x:v>Page retrieved</x:v>
      </x:c>
      <x:c r="M44" s="12" t="str">
        <x:v>https://tworock.io</x:v>
      </x:c>
      <x:c r="N44" s="12" t="str">
        <x:v>https://media.djangoproject.com/cache/6d/e6/6de6023096c076ca75790548a6fac524.png</x:v>
      </x:c>
      <x:c r="O44" s="12" t="n">
        <x:v>46300.08409722222</x:v>
      </x:c>
      <x:c r="P44" s="12" t="n">
        <x:v>200</x:v>
      </x:c>
      <x:c r="Q44" s="2"/>
    </x:row>
    <x:row r="45" ht="82" customHeight="1">
      <x:c r="A45" s="12" t="str"/>
      <x:c r="B45" s="12" t="str">
        <x:v>ORG-038</x:v>
      </x:c>
      <x:c r="C45" s="12" t="str">
        <x:v>Zapier</x:v>
      </x:c>
      <x:c r="D45" s="12" t="str">
        <x:v>Silver</x:v>
      </x:c>
      <x:c r="E45" s="12" t="str">
        <x:v>zapier.com</x:v>
      </x:c>
      <x:c r="F45" s="12" t="str">
        <x:v>https://zapier.com/</x:v>
      </x:c>
      <x:c r="G45" s="12" t="str">
        <x:v>Zapier: Automate AI Workflows, Agents, and Apps</x:v>
      </x:c>
      <x:c r="H45" s="12" t="str">
        <x:v>Build and scale AI workflows and agents across 9,000+ apps with Zapier—the most connected AI orchestration platform. Trusted by 3 million+ businesses.</x:v>
      </x:c>
      <x:c r="I45" s="12" t="str"/>
      <x:c r="J45" s="12" t="str">
        <x:v>https://zapier.com/l/contact-sales?demo_source=cs_nav_header</x:v>
      </x:c>
      <x:c r="K45" s="12" t="str">
        <x:v>https://www.linkedin.com/company/zapier/</x:v>
      </x:c>
      <x:c r="L45" s="12" t="str">
        <x:v>Page retrieved</x:v>
      </x:c>
      <x:c r="M45" s="12" t="str">
        <x:v>https://zapier.com/</x:v>
      </x:c>
      <x:c r="N45" s="12" t="str">
        <x:v>https://media.djangoproject.com/cache/8f/93/8f933ac446ac4a1efbd73df1db678094.png</x:v>
      </x:c>
      <x:c r="O45" s="12" t="n">
        <x:v>46300.08409722222</x:v>
      </x:c>
      <x:c r="P45" s="12" t="n">
        <x:v>200</x:v>
      </x:c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</x:sheetData>
  <x:conditionalFormatting sqref="L8:L45">
    <x:cfRule type="containsText" dxfId="0" priority="1" operator="containsText" text="Review required"/>
  </x:conditionalFormatting>
  <x:pageMargins left="0.7" right="0.7" top="0.75" bottom="0.75" header="0.3" footer="0.3"/>
  <x:drawing xmlns:r="http://schemas.openxmlformats.org/officeDocument/2006/relationships" r:id="Rd1e383254586411d"/>
  <x:tableParts count="1">
    <x:tablePart xmlns:r="http://schemas.openxmlformats.org/officeDocument/2006/relationships" r:id="R6e28937731a94e5a"/>
  </x:tableParts>
</x:worksheet>
</file>